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EI-FS01.AEI.local\FolderRedirection$\ksaul\Desktop\Pricing\INFRATECH JAN 15 2025\"/>
    </mc:Choice>
  </mc:AlternateContent>
  <xr:revisionPtr revIDLastSave="0" documentId="13_ncr:1_{98ED4CF1-FE8E-4B71-86FE-E7B63632F4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RATECH" sheetId="2" r:id="rId1"/>
    <sheet name="Sheet3" sheetId="3" r:id="rId2"/>
  </sheets>
  <definedNames>
    <definedName name="_xlnm.Print_Area" localSheetId="0">INFRATECH!$A:$E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3" i="2" l="1"/>
  <c r="E232" i="2"/>
  <c r="E231" i="2"/>
  <c r="E11" i="2"/>
  <c r="E239" i="2"/>
  <c r="E240" i="2"/>
  <c r="E238" i="2"/>
  <c r="E229" i="2"/>
  <c r="E230" i="2"/>
  <c r="E228" i="2"/>
  <c r="E222" i="2"/>
  <c r="E223" i="2"/>
  <c r="E224" i="2"/>
  <c r="E221" i="2"/>
  <c r="E212" i="2"/>
  <c r="E213" i="2"/>
  <c r="E214" i="2"/>
  <c r="E215" i="2"/>
  <c r="E216" i="2"/>
  <c r="E217" i="2"/>
  <c r="E218" i="2"/>
  <c r="E211" i="2"/>
  <c r="E204" i="2"/>
  <c r="E205" i="2"/>
  <c r="E206" i="2"/>
  <c r="E203" i="2"/>
  <c r="E199" i="2"/>
  <c r="E200" i="2"/>
  <c r="E201" i="2"/>
  <c r="E198" i="2"/>
  <c r="E194" i="2"/>
  <c r="E195" i="2"/>
  <c r="E196" i="2"/>
  <c r="E193" i="2"/>
  <c r="E188" i="2"/>
  <c r="E189" i="2"/>
  <c r="E190" i="2"/>
  <c r="E187" i="2"/>
  <c r="E183" i="2"/>
  <c r="E184" i="2"/>
  <c r="E185" i="2"/>
  <c r="E182" i="2"/>
  <c r="E178" i="2"/>
  <c r="E179" i="2"/>
  <c r="E180" i="2"/>
  <c r="E177" i="2"/>
  <c r="E167" i="2"/>
  <c r="E168" i="2"/>
  <c r="E169" i="2"/>
  <c r="E170" i="2"/>
  <c r="E171" i="2"/>
  <c r="E172" i="2"/>
  <c r="E166" i="2"/>
  <c r="E159" i="2"/>
  <c r="E160" i="2"/>
  <c r="E161" i="2"/>
  <c r="E162" i="2"/>
  <c r="E163" i="2"/>
  <c r="E164" i="2"/>
  <c r="E158" i="2"/>
  <c r="E147" i="2"/>
  <c r="E148" i="2"/>
  <c r="E149" i="2"/>
  <c r="E150" i="2"/>
  <c r="E151" i="2"/>
  <c r="E152" i="2"/>
  <c r="E153" i="2"/>
  <c r="E146" i="2"/>
  <c r="E132" i="2"/>
  <c r="E133" i="2"/>
  <c r="E134" i="2"/>
  <c r="E135" i="2"/>
  <c r="E136" i="2"/>
  <c r="E137" i="2"/>
  <c r="E138" i="2"/>
  <c r="E139" i="2"/>
  <c r="E140" i="2"/>
  <c r="E141" i="2"/>
  <c r="E131" i="2"/>
  <c r="E121" i="2"/>
  <c r="E122" i="2"/>
  <c r="E123" i="2"/>
  <c r="E120" i="2"/>
  <c r="E116" i="2"/>
  <c r="E117" i="2"/>
  <c r="E118" i="2"/>
  <c r="E115" i="2"/>
  <c r="E111" i="2"/>
  <c r="E112" i="2"/>
  <c r="E113" i="2"/>
  <c r="E110" i="2"/>
  <c r="E106" i="2"/>
  <c r="E107" i="2"/>
  <c r="E108" i="2"/>
  <c r="E105" i="2"/>
  <c r="E101" i="2"/>
  <c r="E102" i="2"/>
  <c r="E103" i="2"/>
  <c r="E100" i="2"/>
  <c r="E96" i="2"/>
  <c r="E97" i="2"/>
  <c r="E98" i="2"/>
  <c r="E95" i="2"/>
  <c r="E90" i="2"/>
  <c r="E91" i="2"/>
  <c r="E92" i="2"/>
  <c r="E89" i="2"/>
  <c r="E85" i="2"/>
  <c r="E86" i="2"/>
  <c r="E87" i="2"/>
  <c r="E84" i="2"/>
  <c r="E80" i="2"/>
  <c r="E81" i="2"/>
  <c r="E82" i="2"/>
  <c r="E79" i="2"/>
  <c r="E75" i="2"/>
  <c r="E76" i="2"/>
  <c r="E77" i="2"/>
  <c r="E74" i="2"/>
  <c r="E70" i="2"/>
  <c r="E71" i="2"/>
  <c r="E72" i="2"/>
  <c r="E69" i="2"/>
  <c r="E65" i="2"/>
  <c r="E66" i="2"/>
  <c r="E67" i="2"/>
  <c r="E64" i="2"/>
  <c r="E60" i="2"/>
  <c r="E61" i="2"/>
  <c r="E62" i="2"/>
  <c r="E59" i="2"/>
  <c r="E55" i="2"/>
  <c r="E56" i="2"/>
  <c r="E57" i="2"/>
  <c r="E54" i="2"/>
  <c r="E41" i="2"/>
  <c r="E42" i="2"/>
  <c r="E43" i="2"/>
  <c r="E44" i="2"/>
  <c r="E45" i="2"/>
  <c r="E46" i="2"/>
  <c r="E47" i="2"/>
  <c r="E48" i="2"/>
  <c r="E49" i="2"/>
  <c r="E40" i="2"/>
  <c r="E29" i="2"/>
  <c r="E30" i="2"/>
  <c r="E31" i="2"/>
  <c r="E32" i="2"/>
  <c r="E33" i="2"/>
  <c r="E34" i="2"/>
  <c r="E35" i="2"/>
  <c r="E28" i="2"/>
  <c r="E15" i="2"/>
  <c r="E16" i="2"/>
  <c r="E17" i="2"/>
  <c r="E18" i="2"/>
  <c r="E19" i="2"/>
  <c r="E20" i="2"/>
  <c r="E21" i="2"/>
  <c r="E22" i="2"/>
  <c r="E23" i="2"/>
  <c r="E24" i="2"/>
  <c r="E14" i="2"/>
</calcChain>
</file>

<file path=xl/sharedStrings.xml><?xml version="1.0" encoding="utf-8"?>
<sst xmlns="http://schemas.openxmlformats.org/spreadsheetml/2006/main" count="406" uniqueCount="325">
  <si>
    <t>ITEM</t>
  </si>
  <si>
    <t>DESCRIPTION</t>
  </si>
  <si>
    <t>W1512SS</t>
  </si>
  <si>
    <t>W1524SS</t>
  </si>
  <si>
    <t>W2024SS</t>
  </si>
  <si>
    <t>W3024SS</t>
  </si>
  <si>
    <t>W4024SS</t>
  </si>
  <si>
    <t>WD3024SS</t>
  </si>
  <si>
    <t>WD4024SS</t>
  </si>
  <si>
    <t>WD6024SS</t>
  </si>
  <si>
    <t>18 2300</t>
  </si>
  <si>
    <t>18 2305</t>
  </si>
  <si>
    <t>33" 1500 WATT 240 VOLT 6.3 AMPS HEATER IN STAINLESS STEEL</t>
  </si>
  <si>
    <t>33" 1500 WATT 120 VOLT 12.5 AMPS HEATER IN STAINLESS STEEL</t>
  </si>
  <si>
    <t>39" 2000 WATT 240 VOLT 8.3 AMPS HEATER IN STAINLESS STEEL</t>
  </si>
  <si>
    <t>61 1/4" 3000 WATT 240 VOLT 12.5 AMPS HEATER IN STAINLESS STEEL</t>
  </si>
  <si>
    <t>61 1/4" 4000 WATT 240 VOLT 16.7 AMPS HEATER IN STAINLESS STEEL</t>
  </si>
  <si>
    <t xml:space="preserve">33" DUAL ELEMENT 3,000 WATT 240V 12.5 AMPS </t>
  </si>
  <si>
    <t>39" DUAL ELEMENT 4,000 WATT 240V 16.7 AMPS</t>
  </si>
  <si>
    <t>61 1/4" DUAL ELEMENT 6,000 WATT 240V 25.0 AMPS</t>
  </si>
  <si>
    <t>SL1624SV</t>
  </si>
  <si>
    <t>SL1612SV</t>
  </si>
  <si>
    <t>SL2424SV</t>
  </si>
  <si>
    <t>SL3024SV</t>
  </si>
  <si>
    <t>SL4024SV</t>
  </si>
  <si>
    <t>29.50" SLIM LINE 1,600 WATT 120 VOLT 13.3 AMPS SILVER</t>
  </si>
  <si>
    <t>29.50" SLIM LINE 1,600 WATT 240 VOLT 6.7 AMPS SILVER</t>
  </si>
  <si>
    <t>43.50" SLIM LINE 2,400 WATT 240V 10.0 AMPS SILVER</t>
  </si>
  <si>
    <t>63.50" SLIM LINE 3,000 WATT 240V 12.5 AMPS SILVER</t>
  </si>
  <si>
    <t>63.50" SLIM LINE 4,000 WATT 240V 16.7 AMPS SILVER</t>
  </si>
  <si>
    <t>SL1612BL</t>
  </si>
  <si>
    <t>SL1624BL</t>
  </si>
  <si>
    <t>SL2424BL</t>
  </si>
  <si>
    <t>SL3024BL</t>
  </si>
  <si>
    <t>SL4024BL</t>
  </si>
  <si>
    <t>42.50" SLIM LINE BLACK SHADOW 2,400 WATT 240 VOLT 10 AMPS</t>
  </si>
  <si>
    <t xml:space="preserve">29.50" SLIM LINE BLACK SHADOW 1,600 WATT 240 VOLT 6.7 AMPS </t>
  </si>
  <si>
    <t xml:space="preserve">29.50" SLIM LINE BLACK SHADOW 1,600 WATT 120 VOLT 13.3 AMPS </t>
  </si>
  <si>
    <t xml:space="preserve">63.50" SLIM LINE BLACK SHADOW 3,000 WATT 240 VOLT 12.5 AMPS </t>
  </si>
  <si>
    <t xml:space="preserve">63.50" SLIM LINE BLACK SHADOW 4,000 WATT 240 VOLT 16.7 AMPS </t>
  </si>
  <si>
    <t>18 2295</t>
  </si>
  <si>
    <t>W39 S/S FLUSH MOUNT FRAME FOR 39" UNITS</t>
  </si>
  <si>
    <t>W33 S/S FLUSH MOUNT FRAME FOR 33" UNITS</t>
  </si>
  <si>
    <t>W61 S/S FLUSH MOUNT FRAME FOR 61 1/4" UNITS</t>
  </si>
  <si>
    <t>INFRATECH ELECTRIC HEATERS CONFIDENTIAL DEALER PRICING</t>
  </si>
  <si>
    <t>C1512SS</t>
  </si>
  <si>
    <t>C1524SS</t>
  </si>
  <si>
    <t>C2024SS</t>
  </si>
  <si>
    <t>C3024SS</t>
  </si>
  <si>
    <t>C4024SS</t>
  </si>
  <si>
    <t>CD3024SS</t>
  </si>
  <si>
    <t>CD4024SS</t>
  </si>
  <si>
    <t>CD6024SS</t>
  </si>
  <si>
    <t>INFRATECH FLUSH MOUNT KITS</t>
  </si>
  <si>
    <r>
      <t xml:space="preserve">AEI CORPORATION 
</t>
    </r>
    <r>
      <rPr>
        <sz val="10"/>
        <rFont val="Arial"/>
        <family val="2"/>
      </rPr>
      <t xml:space="preserve">2641 DU BRIDGE AVE.
IRVINE, CA  92606
OFFICE   949-474-3070
FAX          949-474-0559
info@aeicorporation.com
www.aeicorporation.com </t>
    </r>
  </si>
  <si>
    <t>C SERIES SINGLE ELEMENT INFRATECH HEATERS (ALSO IN 208V, 277V, &amp; 480V. SAME PRICE)</t>
  </si>
  <si>
    <t>CD SERIES DUAL ELEMENT INFRATECH HEATERS (ALSO IN 208V, 277V, 480V. SAME PRICE)</t>
  </si>
  <si>
    <t>W SERIES SINGLE ELEMENT INFRATECH HEATERS (ALSO IN 208V, 277V, &amp; 480V. SAME PRICE)</t>
  </si>
  <si>
    <t xml:space="preserve">SINGLE ELEMENT </t>
  </si>
  <si>
    <t>DUAL ELEMENT</t>
  </si>
  <si>
    <t>SINGLE ELEMENT</t>
  </si>
  <si>
    <t xml:space="preserve">DUAL ELEMENT </t>
  </si>
  <si>
    <t>WD SERIES DUAL ELEMENT INFRATECH HEATERS (ALSO IN 208V, 277V, 480V. SAME PRICE)</t>
  </si>
  <si>
    <t>SLIM LINE INFRATECH HEATERS (ALSO IN 208V AND 277V. SAME PRICE)</t>
  </si>
  <si>
    <r>
      <t>SV</t>
    </r>
    <r>
      <rPr>
        <sz val="12"/>
        <rFont val="Arial"/>
        <family val="2"/>
      </rPr>
      <t>=Silver housing with stainless steel front face</t>
    </r>
    <r>
      <rPr>
        <b/>
        <sz val="12"/>
        <rFont val="Arial"/>
        <family val="2"/>
      </rPr>
      <t xml:space="preserve"> BL</t>
    </r>
    <r>
      <rPr>
        <sz val="12"/>
        <rFont val="Arial"/>
        <family val="2"/>
      </rPr>
      <t>=Matte Black housing and front face</t>
    </r>
  </si>
  <si>
    <r>
      <t>AL</t>
    </r>
    <r>
      <rPr>
        <sz val="12"/>
        <rFont val="Arial"/>
        <family val="2"/>
      </rPr>
      <t>=ALMOND</t>
    </r>
    <r>
      <rPr>
        <b/>
        <sz val="12"/>
        <rFont val="Arial"/>
        <family val="2"/>
      </rPr>
      <t xml:space="preserve"> BE</t>
    </r>
    <r>
      <rPr>
        <sz val="12"/>
        <rFont val="Arial"/>
        <family val="2"/>
      </rPr>
      <t>=BIEGE</t>
    </r>
    <r>
      <rPr>
        <b/>
        <sz val="12"/>
        <rFont val="Arial"/>
        <family val="2"/>
      </rPr>
      <t xml:space="preserve"> BI</t>
    </r>
    <r>
      <rPr>
        <sz val="12"/>
        <rFont val="Arial"/>
        <family val="2"/>
      </rPr>
      <t>=BISCUIT</t>
    </r>
    <r>
      <rPr>
        <b/>
        <sz val="12"/>
        <rFont val="Arial"/>
        <family val="2"/>
      </rPr>
      <t xml:space="preserve"> BL</t>
    </r>
    <r>
      <rPr>
        <sz val="12"/>
        <rFont val="Arial"/>
        <family val="2"/>
      </rPr>
      <t>=BLACK</t>
    </r>
    <r>
      <rPr>
        <b/>
        <sz val="12"/>
        <rFont val="Arial"/>
        <family val="2"/>
      </rPr>
      <t xml:space="preserve"> BR</t>
    </r>
    <r>
      <rPr>
        <sz val="12"/>
        <rFont val="Arial"/>
        <family val="2"/>
      </rPr>
      <t>=BRONZE</t>
    </r>
    <r>
      <rPr>
        <b/>
        <sz val="12"/>
        <rFont val="Arial"/>
        <family val="2"/>
      </rPr>
      <t xml:space="preserve"> CP</t>
    </r>
    <r>
      <rPr>
        <sz val="12"/>
        <rFont val="Arial"/>
        <family val="2"/>
      </rPr>
      <t>=COPPER</t>
    </r>
    <r>
      <rPr>
        <b/>
        <sz val="12"/>
        <rFont val="Arial"/>
        <family val="2"/>
      </rPr>
      <t xml:space="preserve"> GR</t>
    </r>
    <r>
      <rPr>
        <sz val="12"/>
        <rFont val="Arial"/>
        <family val="2"/>
      </rPr>
      <t>=GREY</t>
    </r>
    <r>
      <rPr>
        <b/>
        <sz val="12"/>
        <rFont val="Arial"/>
        <family val="2"/>
      </rPr>
      <t xml:space="preserve"> SS</t>
    </r>
    <r>
      <rPr>
        <sz val="12"/>
        <rFont val="Arial"/>
        <family val="2"/>
      </rPr>
      <t xml:space="preserve">=STAINLESS STEEL </t>
    </r>
    <r>
      <rPr>
        <b/>
        <sz val="12"/>
        <rFont val="Arial"/>
        <family val="2"/>
      </rPr>
      <t>WH</t>
    </r>
    <r>
      <rPr>
        <sz val="12"/>
        <rFont val="Arial"/>
        <family val="2"/>
      </rPr>
      <t>=WHITE</t>
    </r>
  </si>
  <si>
    <t>18 2295 IN ALMOND, BEIGE, BISCUIT, BLACK, BRONZE, COPPER, GREY, &amp; WHITE</t>
  </si>
  <si>
    <t>18 2300 IN ALMOND, BEIGE, BISCUIT, BLACK, BRONZE, COPPER, GREY, &amp; WHITE</t>
  </si>
  <si>
    <t>18 2305 IN ALMOND, BEIGE, BISCUIT, BLACK, BRONZE, COPPER, GREY, &amp; WHITE</t>
  </si>
  <si>
    <t>C15 IN ALMOND, BEIGE, BLACK, BRONZE, COPPER, GREY, &amp; WHITE</t>
  </si>
  <si>
    <t>C20 IN ALMOND, BEIGE, BLACK, BRONZE, COPPER, GREY, &amp; WHITE</t>
  </si>
  <si>
    <t>C30 IN ALMOND, BEIGE, BLACK, BRONZE, COPPER, GREY, &amp; WHITE</t>
  </si>
  <si>
    <t>C40 IN ALMOND, BEIGE, BLACK, BRONZE, COPPER, GREY, &amp; WHITE</t>
  </si>
  <si>
    <t>CD30 IN ALMOND, BEIGE, BLACK, BRONZE, COPPER, GREY, &amp; WHITE</t>
  </si>
  <si>
    <t>CD40 IN ALMOND, BEIGE, BLACK, BRONZE, COPPER, GREY, &amp; WHITE</t>
  </si>
  <si>
    <t>CD60 IN ALMOND, BEIGE, BLACK, BRONZE, COPPER, GREY, &amp; WHITE</t>
  </si>
  <si>
    <t>W15 IN ALMOND, BEIGE, BLACK, BRONZE, COPPER, GREY, &amp; WHITE</t>
  </si>
  <si>
    <t>W20 IN ALMOND, BEIGE, BLACK, BRONZE, COPPER, GREY, &amp; WHITE</t>
  </si>
  <si>
    <t>W30 IN ALMOND, BEIGE, BLACK, BRONZE, COPPER, GREY, &amp; WHITE</t>
  </si>
  <si>
    <t>W40 IN ALMOND, BEIGE, BLACK, BRONZE, COPPER, GREY, &amp; WHITE</t>
  </si>
  <si>
    <t>WD30 IN ALMOND, BEIGE, BLACK, BRONZE, COPPER, GREY, &amp; WHITE</t>
  </si>
  <si>
    <t>WD40 IN ALMOND, BEIGE, BLACK, BRONZE, COPPER, GREY, &amp; WHITE</t>
  </si>
  <si>
    <t>WD60 IN ALMOND, BEIGE, BLACK, BRONZE, COPPER, GREY, &amp; WHITE</t>
  </si>
  <si>
    <t>MOTIF COLLECTION - STAINLESS STEEL (AVAILABLE IN 208V, 277V, AND 480V. SAME PRICE)</t>
  </si>
  <si>
    <t>C2024SS1</t>
  </si>
  <si>
    <t>39" 2000 WATT 240 VOLT CONTEMPORARY MOTIF COLLECTION - STAINLESS STEEL</t>
  </si>
  <si>
    <t>C2024SS2</t>
  </si>
  <si>
    <t>39" 2000 WATT 240 VOLT CRAFTSMAN MOTIF COLLECTION - STAINLESS STEEL</t>
  </si>
  <si>
    <t>C2024SS3</t>
  </si>
  <si>
    <t>39" 2000 WATT 240 VOLT MEDITERRANEAN MOTIF COLLECTION - STAINLESS STEEL</t>
  </si>
  <si>
    <t>C2024SS4</t>
  </si>
  <si>
    <t>39" 2000 WATT 240 VOLT TRADITIONAL MOTIF COLLECTION - STAINLESS STEEL</t>
  </si>
  <si>
    <t>MOTIF COLLECTION - BLACK (AVAILABLE IN 208V, 277V, AND 480V. SAME PRICE)</t>
  </si>
  <si>
    <t>C2024BL1</t>
  </si>
  <si>
    <t>39" 2000 WATT 240 VOLT CONTEMPORARY MOTIF COLLECTION - BLACK</t>
  </si>
  <si>
    <t>C2024BL2</t>
  </si>
  <si>
    <t>39" 2000 WATT 240 VOLT CRAFTSMAN MOTIF COLLECTION - BLACK</t>
  </si>
  <si>
    <t>C2024BL3</t>
  </si>
  <si>
    <t>39" 2000 WATT 240 VOLT MEDITERRANEAN MOTIF COLLECTION - BLACK</t>
  </si>
  <si>
    <t>C2024BL4</t>
  </si>
  <si>
    <t xml:space="preserve">39" 2000 WATT 240 VOLT TRADITIONAL MOTIF COLLECTION - BLACK </t>
  </si>
  <si>
    <t>C3024SS1</t>
  </si>
  <si>
    <t>61-1/4" 3000 WATT 240 VOLT CONTEMPORARY MOTIF COLLECTION - STAINLESS STEEL</t>
  </si>
  <si>
    <t>C3024SS2</t>
  </si>
  <si>
    <t>61-1/4" 3000 WATT 240 VOLT CRAFTSMAN MOTIF COLLECTION - STAINLESS STEEL</t>
  </si>
  <si>
    <t>C3024SS3</t>
  </si>
  <si>
    <t>61-1/4" 3000 WATT 240 VOLT MEDITERRANEAN MOTIF COLLECTION - STAINLESS STEEL</t>
  </si>
  <si>
    <t>C3024SS4</t>
  </si>
  <si>
    <t>61-1/4" 3000 WATT 240 VOLT TRADITIONAL MOTIF COLLECTION - STAINLESS STEEL</t>
  </si>
  <si>
    <t>C3024BL1</t>
  </si>
  <si>
    <t>61-1/4"" 3000 WATT 240 VOLT CONTEMPORARY MOTIF COLLECTION - BLACK</t>
  </si>
  <si>
    <t>C3024BL2</t>
  </si>
  <si>
    <t>61-1/4"" 3000 WATT 240 VOLT CRAFTSMAN MOTIF COLLECTION - BLACK</t>
  </si>
  <si>
    <t>C3024BL3</t>
  </si>
  <si>
    <t>61-1/4"" 3000 WATT 240 VOLT MEDITERRANEAN MOTIF COLLECTION - BLACK</t>
  </si>
  <si>
    <t>C3024BL4</t>
  </si>
  <si>
    <t xml:space="preserve">61-1/4" 3000 WATT 240 VOLT TRADITIONAL MOTIF COLLECTION - BLACK </t>
  </si>
  <si>
    <t>C4024SS1</t>
  </si>
  <si>
    <t>61-1/4" 4000 WATT 240 VOLT CONTEMPORARY MOTIF COLLECTION - STAINLESS STEEL</t>
  </si>
  <si>
    <t>C4024SS2</t>
  </si>
  <si>
    <t>61-1/4" 4000 WATT 240 VOLT CRAFTSMAN MOTIF COLLECTION - STAINLESS STEEL</t>
  </si>
  <si>
    <t>C4024SS3</t>
  </si>
  <si>
    <t>61-1/4" 4000 WATT 240 VOLT MEDITERRANEAN MOTIF COLLECTION - STAINLESS STEEL</t>
  </si>
  <si>
    <t>C4024SS4</t>
  </si>
  <si>
    <t>61-1/4" 4000 WATT 240 VOLT TRADITIONAL MOTIF COLLECTION - STAINLESS STEEL</t>
  </si>
  <si>
    <t>C4024BL1</t>
  </si>
  <si>
    <t>61-1/4"" 4000 WATT 240 VOLT CONTEMPORARY MOTIF COLLECTION - BLACK</t>
  </si>
  <si>
    <t>C4024BL2</t>
  </si>
  <si>
    <t>61-1/4"" 4000 WATT 240 VOLT CRAFTSMAN MOTIF COLLECTION - BLACK</t>
  </si>
  <si>
    <t>C4024BL3</t>
  </si>
  <si>
    <t>61-1/4"" 4000 WATT 240 VOLT MEDITERRANEAN MOTIF COLLECTION - BLACK</t>
  </si>
  <si>
    <t>C4024BL4</t>
  </si>
  <si>
    <t xml:space="preserve">61-1/4" 4000 WATT 240 VOLT TRADITIONAL MOTIF COLLECTION - BLACK </t>
  </si>
  <si>
    <t xml:space="preserve">MOTIF COLLECTION HEATERS </t>
  </si>
  <si>
    <t>C3024MG</t>
  </si>
  <si>
    <t>C4024MG</t>
  </si>
  <si>
    <t>CD3024MG</t>
  </si>
  <si>
    <t>CD4024MG</t>
  </si>
  <si>
    <t>W3024MG</t>
  </si>
  <si>
    <t>W4024MG</t>
  </si>
  <si>
    <t>WD3024MG</t>
  </si>
  <si>
    <t>WD4024MG</t>
  </si>
  <si>
    <t>WD6024MG</t>
  </si>
  <si>
    <t>CD4024SS1</t>
  </si>
  <si>
    <t>***39" 4000 WATT 240 VOLT CONTEMPORARY MOTIF COLLECTION - STAINLESS STEEL</t>
  </si>
  <si>
    <t>CD4024SS2</t>
  </si>
  <si>
    <t>***39" 4000 WATT 240 VOLT CRAFTSMAN MOTIF COLLECTION - STAINLESS STEEL</t>
  </si>
  <si>
    <t>CD4024SS3</t>
  </si>
  <si>
    <t>39" 4000 WATT 240 VOLT MEDITERRANEAN MOTIF COLLECTION - STAINLESS STEEL</t>
  </si>
  <si>
    <t>CD4024SS4</t>
  </si>
  <si>
    <t>39" 4000 WATT 240 VOLT TRADITIONAL MOTIF COLLECTION - STAINLESS STEEL</t>
  </si>
  <si>
    <t>CD4024BL1</t>
  </si>
  <si>
    <t>***39" 4000 WATT 240 VOLT CONTEMPORARY MOTIF COLLECTION - BLACK</t>
  </si>
  <si>
    <t>CD4024BL2</t>
  </si>
  <si>
    <t>***39" 4000 WATT 240 VOLT CRAFTSMAN MOTIF COLLECTION - BLACK</t>
  </si>
  <si>
    <t>CD4024BL3</t>
  </si>
  <si>
    <t>39" 4000 WATT 240 VOLT MEDITERRANEAN MOTIF COLLECTION - BLACK</t>
  </si>
  <si>
    <t>CD4024BL4</t>
  </si>
  <si>
    <t xml:space="preserve">39" 4000 WATT 240 VOLT TRADITIONAL MOTIF COLLECTION - BLACK </t>
  </si>
  <si>
    <t>CD6024SS1</t>
  </si>
  <si>
    <r>
      <rPr>
        <b/>
        <sz val="12"/>
        <rFont val="Arial"/>
        <family val="2"/>
      </rPr>
      <t>***</t>
    </r>
    <r>
      <rPr>
        <sz val="12"/>
        <rFont val="Arial"/>
        <family val="2"/>
      </rPr>
      <t>61-1/4" 6000 WATT 240 VOLT CONTEMPORARY MOTIF COLLECTION - STAINLESS STEEL</t>
    </r>
  </si>
  <si>
    <t>CD6024SS2</t>
  </si>
  <si>
    <r>
      <rPr>
        <b/>
        <sz val="12"/>
        <rFont val="Arial"/>
        <family val="2"/>
      </rPr>
      <t>***</t>
    </r>
    <r>
      <rPr>
        <sz val="12"/>
        <rFont val="Arial"/>
        <family val="2"/>
      </rPr>
      <t>61-1/4" 6000 WATT 240 VOLT CRAFTSMAN MOTIF COLLECTION - STAINLESS STEEL</t>
    </r>
  </si>
  <si>
    <t>CD6024SS3</t>
  </si>
  <si>
    <t>61-1/4" 6000 WATT 240 VOLT MEDITERRANEAN MOTIF COLLECTION - STAINLESS STEEL</t>
  </si>
  <si>
    <t>CD6024SS4</t>
  </si>
  <si>
    <t>61-1/4" 6000 WATT 240 VOLT TRADITIONAL MOTIF COLLECTION - STAINLESS STEEL</t>
  </si>
  <si>
    <t>CD6024BL1</t>
  </si>
  <si>
    <r>
      <rPr>
        <b/>
        <sz val="12"/>
        <rFont val="Arial"/>
        <family val="2"/>
      </rPr>
      <t>***</t>
    </r>
    <r>
      <rPr>
        <sz val="12"/>
        <rFont val="Arial"/>
        <family val="2"/>
      </rPr>
      <t>61-1/4" 6000 WATT 240 VOLT CONTEMPORARY MOTIF COLLECTION - BLACK</t>
    </r>
  </si>
  <si>
    <t>CD6024BL2</t>
  </si>
  <si>
    <r>
      <rPr>
        <b/>
        <sz val="12"/>
        <rFont val="Arial"/>
        <family val="2"/>
      </rPr>
      <t>***</t>
    </r>
    <r>
      <rPr>
        <sz val="12"/>
        <rFont val="Arial"/>
        <family val="2"/>
      </rPr>
      <t>61-1/4" 6000 WATT 240 VOLT CRAFTSMAN MOTIF COLLECTION - BLACK</t>
    </r>
  </si>
  <si>
    <t>CD6024BL3</t>
  </si>
  <si>
    <t>61-1/4" 6000 WATT 240 VOLT MEDITERRANEAN MOTIF COLLECTION - BLACK</t>
  </si>
  <si>
    <t>CD6024BL4</t>
  </si>
  <si>
    <t xml:space="preserve">61-1/4" 6000 WATT 240 VOLT TRADITIONAL MOTIF COLLECTION - BLACK </t>
  </si>
  <si>
    <t xml:space="preserve">ITEM </t>
  </si>
  <si>
    <t>CD6024MG</t>
  </si>
  <si>
    <t>MARINE GRADE MOTIF HEATERS</t>
  </si>
  <si>
    <t>C3024MG1</t>
  </si>
  <si>
    <t>C3024MG2</t>
  </si>
  <si>
    <t>C3024MG3</t>
  </si>
  <si>
    <t>C3024MG4</t>
  </si>
  <si>
    <t>C4024MG1</t>
  </si>
  <si>
    <t>C4024MG2</t>
  </si>
  <si>
    <t>C4024MG3</t>
  </si>
  <si>
    <t>C4024MG4</t>
  </si>
  <si>
    <t>CD4024MG1</t>
  </si>
  <si>
    <t>CD4024MG2</t>
  </si>
  <si>
    <t>CD4024MG3</t>
  </si>
  <si>
    <t>CD4024MG4</t>
  </si>
  <si>
    <t>CD6024MG1</t>
  </si>
  <si>
    <t>CD6024MG2</t>
  </si>
  <si>
    <t>CD6024MG3</t>
  </si>
  <si>
    <t>CD6024MG4</t>
  </si>
  <si>
    <t>18 2295MG</t>
  </si>
  <si>
    <t>W33 S/S FLUSH MOUNT FRAME FOR 33" MARINE GRADE STAINLESS</t>
  </si>
  <si>
    <t>18 2300MG</t>
  </si>
  <si>
    <t>W39 S/S FLUSH MOUNT FRAME FOR 39" MARINE GRADE STAINLESS</t>
  </si>
  <si>
    <t>18 2305MG</t>
  </si>
  <si>
    <t>W61 S/S FLUSH MOUNT FRAME FOR 61 1/4" MARINE GRADE STAINLESS</t>
  </si>
  <si>
    <t>INFRATECH POLE MOUNT OPTIONS * SPECIAL ORDER 3-4 WEEK LEAD TIME</t>
  </si>
  <si>
    <t>22 1250*</t>
  </si>
  <si>
    <t>22 1255*</t>
  </si>
  <si>
    <t>INFRATECH C/CD SERIES DROP MOUNT ASSEMBLIES</t>
  </si>
  <si>
    <t>ADJUSTABLE MOUNTING FROM 29" TO 72"</t>
  </si>
  <si>
    <t>13 1246BR</t>
  </si>
  <si>
    <t>13 1246BL</t>
  </si>
  <si>
    <t>13 1246WH</t>
  </si>
  <si>
    <t>INFRATECH DROP MOUNT ASSEMBLIES</t>
  </si>
  <si>
    <t>DROP MOUNT HEATER ASSEMBLY- EXTENDER UPTO 6FT (BLACK)</t>
  </si>
  <si>
    <t>DROP MOUNT HEATER ASSEMBLY- EXTENDER UPTO 6FT (BRONZE)</t>
  </si>
  <si>
    <t>DROP MOUNT HEATER ASSEMBLY- EXTENDER UPTO 6FT (WHITE)</t>
  </si>
  <si>
    <t>61 1/4" 3000 WATT 240 VOLT 12.5 AMPS MARINE GRADE STAINLESS STEEL</t>
  </si>
  <si>
    <t>61 1/4" 4000 WATT 240 VOLT 16.7 AMPS MARINE GRADE STAINLESS STEEL</t>
  </si>
  <si>
    <t>33" DUAL ELEMENT 3,000 WATT 240V 12.5 AMPS MARINE GRADE STAINLESS STEEL</t>
  </si>
  <si>
    <t>39" DUAL ELEMENT 4,000 WATT 240V 16.7 AMPS MARINE GRADE STAINLESS STEEL</t>
  </si>
  <si>
    <t>61 1/4" DUAL ELEMENT 6,000 WATT 240V 25.0 AMPS MARINE GRADE STAINLESS STEEL</t>
  </si>
  <si>
    <t>61-1/4" 3000 WATT 240 VOLT CONTEMPORARY MOTIF COLLECTION - MARINE GRADE</t>
  </si>
  <si>
    <t>61-1/4" 3000 WATT 240 VOLT CRAFTSMAN MOTIF COLLECTION - MARINE GRADE</t>
  </si>
  <si>
    <t>61-1/4" 3000 WATT 240 VOLT MEDITERRANEAN MOTIF COLLECTION - MARINE GRADE</t>
  </si>
  <si>
    <t>61-1/4" 3000 WATT 240 VOLT TRADITIONAL MOTIF COLLECTION - MARINE GRADE</t>
  </si>
  <si>
    <t>61-1/4" 4000 WATT 240 VOLT CONTEMPORARY MOTIF COLLECTION - MARINE GRADE</t>
  </si>
  <si>
    <t>61-1/4" 4000 WATT 240 VOLT CRAFTSMAN MOTIF COLLECTION - MARINE GRADE</t>
  </si>
  <si>
    <t>61-1/4" 4000 WATT 240 VOLT MEDITERRANEAN MOTIF COLLECTION - MARINE GRADE</t>
  </si>
  <si>
    <t>61-1/4" 4000 WATT 240 VOLT TRADITIONAL MOTIF COLLECTION - MARINE GRADE</t>
  </si>
  <si>
    <t>***39" 4000 WATT 240 VOLT CONTEMPORARY MOTIF COLLECTION - MARINE GRADE</t>
  </si>
  <si>
    <t>***39" 4000 WATT 240 VOLT CRAFTSMAN MOTIF COLLECTION - MARINE GRADE</t>
  </si>
  <si>
    <t>39" 4000 WATT 240 VOLT MEDITERRANEAN MOTIF COLLECTION - MARINE GRADE</t>
  </si>
  <si>
    <t>39" 4000 WATT 240 VOLT TRADITIONAL MOTIF COLLECTION - MARINE GRADE</t>
  </si>
  <si>
    <r>
      <rPr>
        <b/>
        <sz val="12"/>
        <rFont val="Arial"/>
        <family val="2"/>
      </rPr>
      <t>***</t>
    </r>
    <r>
      <rPr>
        <sz val="12"/>
        <rFont val="Arial"/>
        <family val="2"/>
      </rPr>
      <t>61-1/4" 6000 WATT 240 VOLT CONTEMPORARY MOTIF COLLECTION - MARINE GRADE</t>
    </r>
  </si>
  <si>
    <r>
      <rPr>
        <b/>
        <sz val="12"/>
        <rFont val="Arial"/>
        <family val="2"/>
      </rPr>
      <t>***</t>
    </r>
    <r>
      <rPr>
        <sz val="12"/>
        <rFont val="Arial"/>
        <family val="2"/>
      </rPr>
      <t>61-1/4" 6000 WATT 240 VOLT CRAFTSMAN MOTIF COLLECTION - MARINE GRADE</t>
    </r>
  </si>
  <si>
    <t>61-1/4" 6000 WATT 240 VOLT MEDITERRANEAN MOTIF COLLECTION - MARINE GRADE</t>
  </si>
  <si>
    <t>61-1/4" 6000 WATT 240 VOLT TRADITIONAL MOTIF COLLECTION - MARINE GRADE</t>
  </si>
  <si>
    <t>****SPECIAL ORDER ONLY (1-2 WEEK LEAD TIME)****</t>
  </si>
  <si>
    <t>MOTIF COLLECTION - MARINE GRADE (AVAILABLE IN 208V, 277V, AND 480V. SAME PRICE)</t>
  </si>
  <si>
    <t>MARINE GRADE STAINLESS FLUSH MOUNT KITS (1-2 WEEK LEAD TIME)</t>
  </si>
  <si>
    <t>****SPECIAL ORDER HEATERS****</t>
  </si>
  <si>
    <t xml:space="preserve">INFRATECH HEATERS AND MOUNTS DEALER PRICE SHEET                                                                                                                                      </t>
  </si>
  <si>
    <t>MARINE GRADE STAINLESS HEATERS (ALSO IN 208V, 277V AND 480V. SAME PRICE)</t>
  </si>
  <si>
    <t>INFRATECH GARAGE HEATER (120V PLUG IN WITH SWITCH)</t>
  </si>
  <si>
    <t>33" 1500 WATT 120 VOLT GARAGE HEATER  - BLACK POWDERCOAT COLD ROLLED STEEL</t>
  </si>
  <si>
    <t>C1512BL PLUG</t>
  </si>
  <si>
    <t>C2624SS</t>
  </si>
  <si>
    <t>48" 2600 WATT 240 VOLT 10.8 AMPS HEATER IN STAINLESS STEEL</t>
  </si>
  <si>
    <t>CD5224SS</t>
  </si>
  <si>
    <t>C26 IN ALMOND, BEIGE, BLACK, BRONZE, COPPER, GREY, &amp; WHITE</t>
  </si>
  <si>
    <t>48" DUAL ELEMENT 5,200 WATT 240V 21.67 AMPS</t>
  </si>
  <si>
    <t>CD52 IN ALMOND, BEIGE, BLACK, BRONZE, COPPER, GREY, &amp; WHITE</t>
  </si>
  <si>
    <t>W2624SS</t>
  </si>
  <si>
    <t>W26 IN ALMOND, BEIGE, BLACK, BRONZE, COPPER, GREY, &amp; WHITE</t>
  </si>
  <si>
    <t>WD52 IN ALMOND, BEIGE, BLACK, BRONZE, COPPER, GREY, &amp; WHITE</t>
  </si>
  <si>
    <t>WD5224SS</t>
  </si>
  <si>
    <t>C2624SS1</t>
  </si>
  <si>
    <t>C2624SS2</t>
  </si>
  <si>
    <t>C2624SS3</t>
  </si>
  <si>
    <t>C2624SS4</t>
  </si>
  <si>
    <t>C2624BL1</t>
  </si>
  <si>
    <t>C2624BL2</t>
  </si>
  <si>
    <t>C2624BL3</t>
  </si>
  <si>
    <t>C2624BL4</t>
  </si>
  <si>
    <t>48" 2600 WATT 240 VOLT CONTEMPORARY MOTIF COLLECTION - BLACK</t>
  </si>
  <si>
    <t>48" 2600 WATT 240 VOLT CRAFTSMAN MOTIF COLLECTION - BLACK</t>
  </si>
  <si>
    <t>48" 2600 WATT 240 VOLT MEDITERRANEAN MOTIF COLLECTION - BLACK</t>
  </si>
  <si>
    <t xml:space="preserve">48" 2600 WATT 240 VOLT TRADITIONAL MOTIF COLLECTION - BLACK </t>
  </si>
  <si>
    <t>48" 2600 WATT 240 VOLT CONTEMPORARY MOTIF COLLECTION - STAINLESS STEEL</t>
  </si>
  <si>
    <t>48" 2600 WATT 240 VOLT CRAFTSMAN MOTIF COLLECTION - STAINLESS STEEL</t>
  </si>
  <si>
    <t>48" 2600 WATT 240 VOLT MEDITERRANEAN MOTIF COLLECTION - STAINLESS STEEL</t>
  </si>
  <si>
    <t>48" 2600 WATT 240 VOLT TRADITIONAL MOTIF COLLECTION - STAINLESS STEEL</t>
  </si>
  <si>
    <t>CD5224SS1</t>
  </si>
  <si>
    <t>CD5224SS2</t>
  </si>
  <si>
    <t>CD5224SS3</t>
  </si>
  <si>
    <t>CD5224SS4</t>
  </si>
  <si>
    <t>CD5224BL1</t>
  </si>
  <si>
    <t>CD5224BL2</t>
  </si>
  <si>
    <t>CD5224BL3</t>
  </si>
  <si>
    <t>CD5224BL4</t>
  </si>
  <si>
    <t>***48" 5200 WATT 240 VOLT CONTEMPORARY MOTIF COLLECTION - STAINLESS STEEL</t>
  </si>
  <si>
    <t>***48" 5200 WATT 240 VOLT CRAFTSMAN MOTIF COLLECTION - STAINLESS STEEL</t>
  </si>
  <si>
    <t>48" 5200 WATT 240 VOLT MEDITERRANEAN MOTIF COLLECTION - STAINLESS STEEL</t>
  </si>
  <si>
    <t>48" 5200 WATT 240 VOLT TRADITIONAL MOTIF COLLECTION - STAINLESS STEEL</t>
  </si>
  <si>
    <t>***48" 5200 WATT 240 VOLT CONTEMPORARY MOTIF COLLECTION - BLACK</t>
  </si>
  <si>
    <t>***48" 5200 WATT 240 VOLT CRAFTSMAN MOTIF COLLECTION - BLACK</t>
  </si>
  <si>
    <t>48" 5200 WATT 240 VOLT MEDITERRANEAN MOTIF COLLECTION - BLACK</t>
  </si>
  <si>
    <t xml:space="preserve">48" 5200 WATT 240 VOLT TRADITIONAL MOTIF COLLECTION - BLACK </t>
  </si>
  <si>
    <t>C2624MG</t>
  </si>
  <si>
    <t>48" 2600 WATT 240 VOLT 10.8 AMPS MARINE GRADE STAINLESS STEEL</t>
  </si>
  <si>
    <t>W2624MG</t>
  </si>
  <si>
    <t>C2624MG1</t>
  </si>
  <si>
    <t>48" 2600 WATT 240 VOLT CONTEMPORARY MOTIF COLLECTION - MARINE GRADE</t>
  </si>
  <si>
    <t>C2624MG2</t>
  </si>
  <si>
    <t>48" 2600 WATT 240 VOLT CRAFTSMAN MOTIF COLLECTION - MARINE GRADE</t>
  </si>
  <si>
    <t>C2624MG3</t>
  </si>
  <si>
    <t>48" 2600 WATT 240 VOLT MEDITERRANEAN MOTIF COLLECTION - MARINE GRADE</t>
  </si>
  <si>
    <t>C2624MG4</t>
  </si>
  <si>
    <t>48" 2600 WATT 240 VOLT TRADITIONAL MOTIF COLLECTION - MARINE GRADE</t>
  </si>
  <si>
    <t>CD5224MG1</t>
  </si>
  <si>
    <t>CD5224MG2</t>
  </si>
  <si>
    <t>CD5224MG3</t>
  </si>
  <si>
    <t>CD5224MG4</t>
  </si>
  <si>
    <t>***48" 5200 WATT 240 VOLT CONTEMPORARY MOTIF COLLECTION - MARINE GRADE</t>
  </si>
  <si>
    <t>***48" 5200 WATT 240 VOLT CRAFTSMAN MOTIF COLLECTION - MARINE GRADE</t>
  </si>
  <si>
    <t>48" 5200 WATT 240 VOLT MEDITERRANEAN MOTIF COLLECTION - MARINE GRADE</t>
  </si>
  <si>
    <t>48" 5200 WATT 240 VOLT TRADITIONAL MOTIF COLLECTION - MARINE GRADE</t>
  </si>
  <si>
    <t>18 2302</t>
  </si>
  <si>
    <t>W48 S/S FLUSH MOUNT FRAME FOR 48" UNITS</t>
  </si>
  <si>
    <t>18 2302 IN ALMOND, BEIGE, BLACK, BRONZE, COPPER, GREY, &amp; WHITE</t>
  </si>
  <si>
    <t>18 2302MG</t>
  </si>
  <si>
    <t>W48 S/S FLUSH MOUNT FRAME FOR 48" MARINE GRADE STAINLESS</t>
  </si>
  <si>
    <t>CD5224MG</t>
  </si>
  <si>
    <t>48" DUAL ELEMENT 5,200 WATT 240V 21.67 AMPS MARINE GRADE STAINLESS STEEL</t>
  </si>
  <si>
    <t>WD5224MG</t>
  </si>
  <si>
    <t>22 1253*</t>
  </si>
  <si>
    <t>MAP</t>
  </si>
  <si>
    <t>DEALER (MAPx.6)</t>
  </si>
  <si>
    <t>DEALER (MAPx.65)</t>
  </si>
  <si>
    <t>22 1260*</t>
  </si>
  <si>
    <t>22 1263*</t>
  </si>
  <si>
    <t>22 1265*</t>
  </si>
  <si>
    <t>8 FT. POLE MOUNT FOR W SERIES 39" HEATERS</t>
  </si>
  <si>
    <t>8 FT. POLE MOUNT FOR W SERIES 48" HEATERS</t>
  </si>
  <si>
    <t>8 FT. POLE MOUNT FOR W SERIES 61 1/4" HEATERS</t>
  </si>
  <si>
    <t>8 FT. POLE MOUNT FOR C SERIES 39" HEATERS</t>
  </si>
  <si>
    <t>8 FT. POLE MOUNT FOR C SERIES 48" HEATERS</t>
  </si>
  <si>
    <t>8 FT. POLE MOUNT FOR C SERIES 61 1/4" HEATERS</t>
  </si>
  <si>
    <t>EFFECTIVE JANUARY 15,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</si>
</sst>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8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164" fontId="2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6" fillId="0" borderId="0" xfId="0" applyFont="1"/>
    <xf numFmtId="8" fontId="3" fillId="0" borderId="0" xfId="0" applyNumberFormat="1" applyFont="1" applyAlignment="1">
      <alignment horizontal="center"/>
    </xf>
    <xf numFmtId="0" fontId="2" fillId="0" borderId="0" xfId="0" quotePrefix="1" applyFont="1"/>
    <xf numFmtId="8" fontId="2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0" fillId="0" borderId="0" xfId="0"/>
    <xf numFmtId="164" fontId="2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</cellXfs>
  <cellStyles count="3">
    <cellStyle name="Normal" xfId="0" builtinId="0"/>
    <cellStyle name="Normal 2" xfId="1" xr:uid="{FB8E2950-04DF-4088-ABB7-2EF0597C813B}"/>
    <cellStyle name="Percent 2" xfId="2" xr:uid="{FE9DCFD3-D4A6-40F1-A53B-46A707178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1866901</xdr:colOff>
      <xdr:row>1</xdr:row>
      <xdr:rowOff>161305</xdr:rowOff>
    </xdr:from>
    <xdr:to>
      <xdr:col>1</xdr:col>
      <xdr:colOff>5143501</xdr:colOff>
      <xdr:row>5</xdr:row>
      <xdr:rowOff>174434</xdr:rowOff>
    </xdr:to>
    <xdr:pic>
      <xdr:nvPicPr>
        <xdr:cNvPr id="2" name="Picture 4" descr="New Infratech Logo">
          <a:extLst>
            <a:ext uri="{FF2B5EF4-FFF2-40B4-BE49-F238E27FC236}">
              <a16:creationId xmlns:a16="http://schemas.microsoft.com/office/drawing/2014/main" id="{5B972B36-24A3-4668-BB55-227007BC5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6" y="361330"/>
          <a:ext cx="3276600" cy="8132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40"/>
  <sheetViews>
    <sheetView tabSelected="1" topLeftCell="A213" zoomScaleNormal="100" workbookViewId="0">
      <selection activeCell="I161" sqref="I161"/>
    </sheetView>
  </sheetViews>
  <sheetFormatPr defaultRowHeight="12.75" x14ac:dyDescent="0.2"/>
  <cols>
    <col min="1" max="1" width="21.85546875" customWidth="1"/>
    <col min="2" max="2" width="99.28515625" customWidth="1"/>
    <col min="3" max="3" width="13.5703125" customWidth="1"/>
    <col min="4" max="4" width="5.7109375" customWidth="1"/>
    <col min="5" max="5" width="23.85546875" customWidth="1"/>
  </cols>
  <sheetData>
    <row r="1" spans="1:5" ht="15.75" customHeight="1" x14ac:dyDescent="0.2">
      <c r="A1" s="7" t="s">
        <v>44</v>
      </c>
      <c r="B1" s="2"/>
      <c r="C1" s="21" t="s">
        <v>54</v>
      </c>
      <c r="D1" s="21"/>
      <c r="E1" s="21"/>
    </row>
    <row r="2" spans="1:5" ht="15.75" customHeight="1" x14ac:dyDescent="0.2">
      <c r="A2" s="7" t="s">
        <v>324</v>
      </c>
      <c r="B2" s="2"/>
      <c r="C2" s="21"/>
      <c r="D2" s="21"/>
      <c r="E2" s="21"/>
    </row>
    <row r="3" spans="1:5" ht="15.75" customHeight="1" x14ac:dyDescent="0.2">
      <c r="C3" s="21"/>
      <c r="D3" s="21"/>
      <c r="E3" s="21"/>
    </row>
    <row r="4" spans="1:5" ht="15.75" customHeight="1" x14ac:dyDescent="0.2">
      <c r="C4" s="21"/>
      <c r="D4" s="21"/>
      <c r="E4" s="21"/>
    </row>
    <row r="5" spans="1:5" ht="15.75" customHeight="1" x14ac:dyDescent="0.2">
      <c r="C5" s="21"/>
      <c r="D5" s="21"/>
      <c r="E5" s="21"/>
    </row>
    <row r="6" spans="1:5" ht="15.75" customHeight="1" x14ac:dyDescent="0.2">
      <c r="C6" s="21"/>
      <c r="D6" s="21"/>
      <c r="E6" s="21"/>
    </row>
    <row r="7" spans="1:5" ht="15.75" customHeight="1" x14ac:dyDescent="0.2">
      <c r="C7" s="9"/>
      <c r="D7" s="9"/>
      <c r="E7" s="9"/>
    </row>
    <row r="8" spans="1:5" ht="15.75" customHeight="1" x14ac:dyDescent="0.2">
      <c r="A8" s="22" t="s">
        <v>237</v>
      </c>
      <c r="B8" s="22"/>
      <c r="C8" s="22"/>
      <c r="D8" s="22"/>
      <c r="E8" s="22"/>
    </row>
    <row r="9" spans="1:5" s="8" customFormat="1" x14ac:dyDescent="0.2">
      <c r="A9" s="8" t="s">
        <v>0</v>
      </c>
      <c r="B9" s="8" t="s">
        <v>1</v>
      </c>
      <c r="C9" s="5" t="s">
        <v>312</v>
      </c>
      <c r="D9" s="5"/>
      <c r="E9" s="5" t="s">
        <v>313</v>
      </c>
    </row>
    <row r="10" spans="1:5" ht="15.75" x14ac:dyDescent="0.25">
      <c r="A10" s="2"/>
      <c r="B10" s="19" t="s">
        <v>239</v>
      </c>
      <c r="C10" s="20"/>
      <c r="D10" s="20"/>
      <c r="E10" s="20"/>
    </row>
    <row r="11" spans="1:5" ht="15" x14ac:dyDescent="0.2">
      <c r="A11" s="2" t="s">
        <v>241</v>
      </c>
      <c r="B11" s="2" t="s">
        <v>240</v>
      </c>
      <c r="C11" s="11">
        <v>472</v>
      </c>
      <c r="D11" s="11"/>
      <c r="E11" s="11">
        <f>C11*0.6</f>
        <v>283.2</v>
      </c>
    </row>
    <row r="12" spans="1:5" ht="15.75" x14ac:dyDescent="0.25">
      <c r="A12" s="6" t="s">
        <v>58</v>
      </c>
      <c r="B12" s="19" t="s">
        <v>55</v>
      </c>
      <c r="C12" s="19"/>
      <c r="D12" s="19"/>
      <c r="E12" s="19"/>
    </row>
    <row r="13" spans="1:5" ht="15.75" x14ac:dyDescent="0.25">
      <c r="A13" s="3"/>
      <c r="B13" s="19" t="s">
        <v>65</v>
      </c>
      <c r="C13" s="19"/>
      <c r="D13" s="19"/>
      <c r="E13" s="19"/>
    </row>
    <row r="14" spans="1:5" s="2" customFormat="1" ht="15" x14ac:dyDescent="0.2">
      <c r="A14" s="2" t="s">
        <v>45</v>
      </c>
      <c r="B14" s="2" t="s">
        <v>13</v>
      </c>
      <c r="C14" s="11">
        <v>641</v>
      </c>
      <c r="D14" s="11"/>
      <c r="E14" s="11">
        <f>C14*0.6</f>
        <v>384.59999999999997</v>
      </c>
    </row>
    <row r="15" spans="1:5" s="2" customFormat="1" ht="15" x14ac:dyDescent="0.2">
      <c r="A15" s="2" t="s">
        <v>46</v>
      </c>
      <c r="B15" s="2" t="s">
        <v>12</v>
      </c>
      <c r="C15" s="11">
        <v>641</v>
      </c>
      <c r="D15" s="11"/>
      <c r="E15" s="11">
        <f t="shared" ref="E15:E24" si="0">C15*0.6</f>
        <v>384.59999999999997</v>
      </c>
    </row>
    <row r="16" spans="1:5" s="2" customFormat="1" ht="15.75" x14ac:dyDescent="0.25">
      <c r="A16" s="3"/>
      <c r="B16" s="3" t="s">
        <v>69</v>
      </c>
      <c r="C16" s="13">
        <v>701</v>
      </c>
      <c r="D16" s="13"/>
      <c r="E16" s="4">
        <f t="shared" si="0"/>
        <v>420.59999999999997</v>
      </c>
    </row>
    <row r="17" spans="1:5" s="2" customFormat="1" ht="15" x14ac:dyDescent="0.2">
      <c r="A17" s="2" t="s">
        <v>47</v>
      </c>
      <c r="B17" s="2" t="s">
        <v>14</v>
      </c>
      <c r="C17" s="11">
        <v>707</v>
      </c>
      <c r="D17" s="11"/>
      <c r="E17" s="11">
        <f t="shared" si="0"/>
        <v>424.2</v>
      </c>
    </row>
    <row r="18" spans="1:5" s="2" customFormat="1" ht="15.75" x14ac:dyDescent="0.25">
      <c r="A18" s="3"/>
      <c r="B18" s="3" t="s">
        <v>70</v>
      </c>
      <c r="C18" s="4">
        <v>767</v>
      </c>
      <c r="D18" s="4"/>
      <c r="E18" s="4">
        <f t="shared" si="0"/>
        <v>460.2</v>
      </c>
    </row>
    <row r="19" spans="1:5" s="2" customFormat="1" ht="15" x14ac:dyDescent="0.2">
      <c r="A19" s="2" t="s">
        <v>242</v>
      </c>
      <c r="B19" s="2" t="s">
        <v>243</v>
      </c>
      <c r="C19" s="11">
        <v>785</v>
      </c>
      <c r="D19" s="11"/>
      <c r="E19" s="11">
        <f t="shared" si="0"/>
        <v>471</v>
      </c>
    </row>
    <row r="20" spans="1:5" s="2" customFormat="1" ht="15.75" x14ac:dyDescent="0.25">
      <c r="A20" s="3"/>
      <c r="B20" s="3" t="s">
        <v>245</v>
      </c>
      <c r="C20" s="4">
        <v>845</v>
      </c>
      <c r="D20" s="4"/>
      <c r="E20" s="4">
        <f t="shared" si="0"/>
        <v>507</v>
      </c>
    </row>
    <row r="21" spans="1:5" s="2" customFormat="1" ht="15" x14ac:dyDescent="0.2">
      <c r="A21" s="2" t="s">
        <v>48</v>
      </c>
      <c r="B21" s="2" t="s">
        <v>15</v>
      </c>
      <c r="C21" s="11">
        <v>862</v>
      </c>
      <c r="D21" s="11"/>
      <c r="E21" s="11">
        <f t="shared" si="0"/>
        <v>517.19999999999993</v>
      </c>
    </row>
    <row r="22" spans="1:5" s="2" customFormat="1" ht="15.75" x14ac:dyDescent="0.25">
      <c r="A22" s="3"/>
      <c r="B22" s="3" t="s">
        <v>71</v>
      </c>
      <c r="C22" s="4">
        <v>922</v>
      </c>
      <c r="D22" s="4"/>
      <c r="E22" s="4">
        <f t="shared" si="0"/>
        <v>553.19999999999993</v>
      </c>
    </row>
    <row r="23" spans="1:5" s="2" customFormat="1" ht="15" x14ac:dyDescent="0.2">
      <c r="A23" s="2" t="s">
        <v>49</v>
      </c>
      <c r="B23" s="2" t="s">
        <v>16</v>
      </c>
      <c r="C23" s="11">
        <v>880</v>
      </c>
      <c r="D23" s="11"/>
      <c r="E23" s="11">
        <f t="shared" si="0"/>
        <v>528</v>
      </c>
    </row>
    <row r="24" spans="1:5" s="2" customFormat="1" ht="15.75" x14ac:dyDescent="0.25">
      <c r="A24" s="3"/>
      <c r="B24" s="3" t="s">
        <v>72</v>
      </c>
      <c r="C24" s="4">
        <v>940</v>
      </c>
      <c r="D24" s="4"/>
      <c r="E24" s="4">
        <f t="shared" si="0"/>
        <v>564</v>
      </c>
    </row>
    <row r="25" spans="1:5" ht="6" customHeight="1" x14ac:dyDescent="0.25">
      <c r="A25" s="3"/>
      <c r="B25" s="6"/>
      <c r="C25" s="4"/>
      <c r="D25" s="4"/>
      <c r="E25" s="4"/>
    </row>
    <row r="26" spans="1:5" ht="15.75" x14ac:dyDescent="0.25">
      <c r="A26" s="6" t="s">
        <v>59</v>
      </c>
      <c r="B26" s="19" t="s">
        <v>56</v>
      </c>
      <c r="C26" s="19"/>
      <c r="D26" s="19"/>
      <c r="E26" s="19"/>
    </row>
    <row r="27" spans="1:5" ht="15.75" x14ac:dyDescent="0.25">
      <c r="A27" s="3"/>
      <c r="B27" s="19" t="s">
        <v>65</v>
      </c>
      <c r="C27" s="19"/>
      <c r="D27" s="19"/>
      <c r="E27" s="19"/>
    </row>
    <row r="28" spans="1:5" s="2" customFormat="1" ht="15" x14ac:dyDescent="0.2">
      <c r="A28" s="2" t="s">
        <v>50</v>
      </c>
      <c r="B28" s="2" t="s">
        <v>17</v>
      </c>
      <c r="C28" s="11">
        <v>839</v>
      </c>
      <c r="D28" s="11"/>
      <c r="E28" s="11">
        <f>C28*0.6</f>
        <v>503.4</v>
      </c>
    </row>
    <row r="29" spans="1:5" s="2" customFormat="1" ht="15.75" x14ac:dyDescent="0.25">
      <c r="A29" s="3"/>
      <c r="B29" s="3" t="s">
        <v>73</v>
      </c>
      <c r="C29" s="4">
        <v>899</v>
      </c>
      <c r="D29" s="4"/>
      <c r="E29" s="4">
        <f t="shared" ref="E29:E35" si="1">C29*0.6</f>
        <v>539.4</v>
      </c>
    </row>
    <row r="30" spans="1:5" s="2" customFormat="1" ht="15" x14ac:dyDescent="0.2">
      <c r="A30" s="2" t="s">
        <v>51</v>
      </c>
      <c r="B30" s="2" t="s">
        <v>18</v>
      </c>
      <c r="C30" s="11">
        <v>856</v>
      </c>
      <c r="D30" s="11"/>
      <c r="E30" s="11">
        <f t="shared" si="1"/>
        <v>513.6</v>
      </c>
    </row>
    <row r="31" spans="1:5" s="2" customFormat="1" ht="15.75" x14ac:dyDescent="0.25">
      <c r="A31" s="3"/>
      <c r="B31" s="3" t="s">
        <v>74</v>
      </c>
      <c r="C31" s="4">
        <v>916</v>
      </c>
      <c r="D31" s="4"/>
      <c r="E31" s="4">
        <f t="shared" si="1"/>
        <v>549.6</v>
      </c>
    </row>
    <row r="32" spans="1:5" s="2" customFormat="1" ht="15" x14ac:dyDescent="0.2">
      <c r="A32" s="2" t="s">
        <v>244</v>
      </c>
      <c r="B32" s="2" t="s">
        <v>246</v>
      </c>
      <c r="C32" s="11">
        <v>930</v>
      </c>
      <c r="D32" s="11"/>
      <c r="E32" s="11">
        <f t="shared" si="1"/>
        <v>558</v>
      </c>
    </row>
    <row r="33" spans="1:5" s="2" customFormat="1" ht="15.75" x14ac:dyDescent="0.25">
      <c r="A33" s="3"/>
      <c r="B33" s="3" t="s">
        <v>247</v>
      </c>
      <c r="C33" s="4">
        <v>990</v>
      </c>
      <c r="D33" s="4"/>
      <c r="E33" s="4">
        <f t="shared" si="1"/>
        <v>594</v>
      </c>
    </row>
    <row r="34" spans="1:5" s="2" customFormat="1" ht="15" x14ac:dyDescent="0.2">
      <c r="A34" s="2" t="s">
        <v>52</v>
      </c>
      <c r="B34" s="2" t="s">
        <v>19</v>
      </c>
      <c r="C34" s="11">
        <v>1004</v>
      </c>
      <c r="D34" s="11"/>
      <c r="E34" s="11">
        <f t="shared" si="1"/>
        <v>602.4</v>
      </c>
    </row>
    <row r="35" spans="1:5" s="2" customFormat="1" ht="15.75" x14ac:dyDescent="0.25">
      <c r="A35" s="3"/>
      <c r="B35" s="3" t="s">
        <v>75</v>
      </c>
      <c r="C35" s="4">
        <v>1064</v>
      </c>
      <c r="D35" s="4"/>
      <c r="E35" s="4">
        <f t="shared" si="1"/>
        <v>638.4</v>
      </c>
    </row>
    <row r="36" spans="1:5" s="2" customFormat="1" ht="6.75" customHeight="1" x14ac:dyDescent="0.25">
      <c r="A36" s="3"/>
      <c r="B36" s="3"/>
      <c r="C36" s="4"/>
      <c r="D36" s="4"/>
      <c r="E36" s="4"/>
    </row>
    <row r="37" spans="1:5" ht="18" x14ac:dyDescent="0.25">
      <c r="B37" s="23" t="s">
        <v>63</v>
      </c>
      <c r="C37" s="23"/>
      <c r="D37" s="23"/>
      <c r="E37" s="23"/>
    </row>
    <row r="38" spans="1:5" ht="15.75" customHeight="1" x14ac:dyDescent="0.25">
      <c r="B38" s="19" t="s">
        <v>64</v>
      </c>
      <c r="C38" s="19"/>
      <c r="D38" s="19"/>
      <c r="E38" s="19"/>
    </row>
    <row r="39" spans="1:5" s="8" customFormat="1" x14ac:dyDescent="0.2">
      <c r="A39" s="8" t="s">
        <v>0</v>
      </c>
      <c r="B39" s="8" t="s">
        <v>1</v>
      </c>
      <c r="C39" s="5" t="s">
        <v>312</v>
      </c>
      <c r="D39" s="5"/>
      <c r="E39" s="5" t="s">
        <v>313</v>
      </c>
    </row>
    <row r="40" spans="1:5" s="2" customFormat="1" ht="15" x14ac:dyDescent="0.2">
      <c r="A40" s="2" t="s">
        <v>30</v>
      </c>
      <c r="B40" s="2" t="s">
        <v>37</v>
      </c>
      <c r="C40" s="11">
        <v>740</v>
      </c>
      <c r="D40" s="11"/>
      <c r="E40" s="11">
        <f>C40*0.6</f>
        <v>444</v>
      </c>
    </row>
    <row r="41" spans="1:5" s="2" customFormat="1" ht="15" x14ac:dyDescent="0.2">
      <c r="A41" s="2" t="s">
        <v>21</v>
      </c>
      <c r="B41" s="2" t="s">
        <v>25</v>
      </c>
      <c r="C41" s="11">
        <v>740</v>
      </c>
      <c r="D41" s="11"/>
      <c r="E41" s="11">
        <f t="shared" ref="E41:E49" si="2">C41*0.6</f>
        <v>444</v>
      </c>
    </row>
    <row r="42" spans="1:5" s="2" customFormat="1" ht="15" x14ac:dyDescent="0.2">
      <c r="A42" s="2" t="s">
        <v>31</v>
      </c>
      <c r="B42" s="2" t="s">
        <v>36</v>
      </c>
      <c r="C42" s="11">
        <v>740</v>
      </c>
      <c r="D42" s="11"/>
      <c r="E42" s="11">
        <f t="shared" si="2"/>
        <v>444</v>
      </c>
    </row>
    <row r="43" spans="1:5" s="2" customFormat="1" ht="15" x14ac:dyDescent="0.2">
      <c r="A43" s="2" t="s">
        <v>20</v>
      </c>
      <c r="B43" s="2" t="s">
        <v>26</v>
      </c>
      <c r="C43" s="11">
        <v>740</v>
      </c>
      <c r="D43" s="11"/>
      <c r="E43" s="11">
        <f t="shared" si="2"/>
        <v>444</v>
      </c>
    </row>
    <row r="44" spans="1:5" s="2" customFormat="1" ht="15" x14ac:dyDescent="0.2">
      <c r="A44" s="2" t="s">
        <v>32</v>
      </c>
      <c r="B44" s="2" t="s">
        <v>35</v>
      </c>
      <c r="C44" s="11">
        <v>954</v>
      </c>
      <c r="D44" s="11"/>
      <c r="E44" s="11">
        <f t="shared" si="2"/>
        <v>572.4</v>
      </c>
    </row>
    <row r="45" spans="1:5" s="2" customFormat="1" ht="15" x14ac:dyDescent="0.2">
      <c r="A45" s="2" t="s">
        <v>22</v>
      </c>
      <c r="B45" s="2" t="s">
        <v>27</v>
      </c>
      <c r="C45" s="11">
        <v>954</v>
      </c>
      <c r="D45" s="11"/>
      <c r="E45" s="11">
        <f t="shared" si="2"/>
        <v>572.4</v>
      </c>
    </row>
    <row r="46" spans="1:5" s="2" customFormat="1" ht="15" x14ac:dyDescent="0.2">
      <c r="A46" s="2" t="s">
        <v>33</v>
      </c>
      <c r="B46" s="2" t="s">
        <v>38</v>
      </c>
      <c r="C46" s="11">
        <v>1090</v>
      </c>
      <c r="D46" s="11"/>
      <c r="E46" s="11">
        <f t="shared" si="2"/>
        <v>654</v>
      </c>
    </row>
    <row r="47" spans="1:5" s="2" customFormat="1" ht="15" x14ac:dyDescent="0.2">
      <c r="A47" s="2" t="s">
        <v>23</v>
      </c>
      <c r="B47" s="2" t="s">
        <v>28</v>
      </c>
      <c r="C47" s="11">
        <v>1090</v>
      </c>
      <c r="D47" s="11"/>
      <c r="E47" s="11">
        <f t="shared" si="2"/>
        <v>654</v>
      </c>
    </row>
    <row r="48" spans="1:5" s="2" customFormat="1" ht="15" x14ac:dyDescent="0.2">
      <c r="A48" s="2" t="s">
        <v>34</v>
      </c>
      <c r="B48" s="2" t="s">
        <v>39</v>
      </c>
      <c r="C48" s="11">
        <v>1109</v>
      </c>
      <c r="D48" s="11"/>
      <c r="E48" s="11">
        <f t="shared" si="2"/>
        <v>665.4</v>
      </c>
    </row>
    <row r="49" spans="1:5" s="2" customFormat="1" ht="15" x14ac:dyDescent="0.2">
      <c r="A49" s="2" t="s">
        <v>24</v>
      </c>
      <c r="B49" s="2" t="s">
        <v>29</v>
      </c>
      <c r="C49" s="11">
        <v>1109</v>
      </c>
      <c r="D49" s="11"/>
      <c r="E49" s="11">
        <f t="shared" si="2"/>
        <v>665.4</v>
      </c>
    </row>
    <row r="50" spans="1:5" s="2" customFormat="1" ht="7.5" customHeight="1" x14ac:dyDescent="0.2">
      <c r="C50" s="11"/>
      <c r="D50" s="11"/>
      <c r="E50" s="11"/>
    </row>
    <row r="51" spans="1:5" s="2" customFormat="1" ht="17.25" customHeight="1" x14ac:dyDescent="0.25">
      <c r="B51" s="12" t="s">
        <v>133</v>
      </c>
      <c r="C51" s="11"/>
      <c r="D51" s="11"/>
      <c r="E51" s="11"/>
    </row>
    <row r="52" spans="1:5" ht="15" x14ac:dyDescent="0.2">
      <c r="A52" s="2" t="s">
        <v>0</v>
      </c>
      <c r="B52" t="s">
        <v>1</v>
      </c>
      <c r="C52" s="5" t="s">
        <v>312</v>
      </c>
      <c r="D52" s="5"/>
      <c r="E52" s="5" t="s">
        <v>313</v>
      </c>
    </row>
    <row r="53" spans="1:5" ht="15.75" x14ac:dyDescent="0.25">
      <c r="A53" s="3" t="s">
        <v>60</v>
      </c>
      <c r="B53" s="19" t="s">
        <v>83</v>
      </c>
      <c r="C53" s="20"/>
      <c r="D53" s="20"/>
      <c r="E53" s="20"/>
    </row>
    <row r="54" spans="1:5" ht="15" x14ac:dyDescent="0.2">
      <c r="A54" s="2" t="s">
        <v>84</v>
      </c>
      <c r="B54" s="2" t="s">
        <v>85</v>
      </c>
      <c r="C54" s="11">
        <v>777</v>
      </c>
      <c r="D54" s="11"/>
      <c r="E54" s="11">
        <f>C54*0.6</f>
        <v>466.2</v>
      </c>
    </row>
    <row r="55" spans="1:5" ht="15" x14ac:dyDescent="0.2">
      <c r="A55" s="2" t="s">
        <v>86</v>
      </c>
      <c r="B55" s="2" t="s">
        <v>87</v>
      </c>
      <c r="C55" s="11">
        <v>777</v>
      </c>
      <c r="D55" s="11"/>
      <c r="E55" s="11">
        <f t="shared" ref="E55:E57" si="3">C55*0.6</f>
        <v>466.2</v>
      </c>
    </row>
    <row r="56" spans="1:5" ht="15" x14ac:dyDescent="0.2">
      <c r="A56" s="2" t="s">
        <v>88</v>
      </c>
      <c r="B56" s="2" t="s">
        <v>89</v>
      </c>
      <c r="C56" s="11">
        <v>777</v>
      </c>
      <c r="D56" s="11"/>
      <c r="E56" s="11">
        <f t="shared" si="3"/>
        <v>466.2</v>
      </c>
    </row>
    <row r="57" spans="1:5" ht="15" x14ac:dyDescent="0.2">
      <c r="A57" s="2" t="s">
        <v>90</v>
      </c>
      <c r="B57" s="2" t="s">
        <v>91</v>
      </c>
      <c r="C57" s="11">
        <v>777</v>
      </c>
      <c r="D57" s="11"/>
      <c r="E57" s="11">
        <f t="shared" si="3"/>
        <v>466.2</v>
      </c>
    </row>
    <row r="58" spans="1:5" ht="15.75" x14ac:dyDescent="0.25">
      <c r="A58" s="3" t="s">
        <v>60</v>
      </c>
      <c r="B58" s="19" t="s">
        <v>92</v>
      </c>
      <c r="C58" s="19"/>
      <c r="D58" s="19"/>
      <c r="E58" s="19"/>
    </row>
    <row r="59" spans="1:5" ht="15" x14ac:dyDescent="0.2">
      <c r="A59" s="2" t="s">
        <v>93</v>
      </c>
      <c r="B59" s="2" t="s">
        <v>94</v>
      </c>
      <c r="C59" s="11">
        <v>837</v>
      </c>
      <c r="D59" s="11"/>
      <c r="E59" s="11">
        <f>C59*0.6</f>
        <v>502.2</v>
      </c>
    </row>
    <row r="60" spans="1:5" ht="15" x14ac:dyDescent="0.2">
      <c r="A60" s="2" t="s">
        <v>95</v>
      </c>
      <c r="B60" s="2" t="s">
        <v>96</v>
      </c>
      <c r="C60" s="11">
        <v>837</v>
      </c>
      <c r="D60" s="11"/>
      <c r="E60" s="11">
        <f t="shared" ref="E60:E62" si="4">C60*0.6</f>
        <v>502.2</v>
      </c>
    </row>
    <row r="61" spans="1:5" ht="15" x14ac:dyDescent="0.2">
      <c r="A61" s="2" t="s">
        <v>97</v>
      </c>
      <c r="B61" s="2" t="s">
        <v>98</v>
      </c>
      <c r="C61" s="11">
        <v>837</v>
      </c>
      <c r="D61" s="11"/>
      <c r="E61" s="11">
        <f t="shared" si="4"/>
        <v>502.2</v>
      </c>
    </row>
    <row r="62" spans="1:5" ht="15" x14ac:dyDescent="0.2">
      <c r="A62" s="2" t="s">
        <v>99</v>
      </c>
      <c r="B62" s="2" t="s">
        <v>100</v>
      </c>
      <c r="C62" s="11">
        <v>837</v>
      </c>
      <c r="D62" s="11"/>
      <c r="E62" s="11">
        <f t="shared" si="4"/>
        <v>502.2</v>
      </c>
    </row>
    <row r="63" spans="1:5" ht="15.75" x14ac:dyDescent="0.25">
      <c r="A63" s="3" t="s">
        <v>60</v>
      </c>
      <c r="B63" s="19" t="s">
        <v>83</v>
      </c>
      <c r="C63" s="20"/>
      <c r="D63" s="20"/>
      <c r="E63" s="20"/>
    </row>
    <row r="64" spans="1:5" ht="15" x14ac:dyDescent="0.2">
      <c r="A64" s="2" t="s">
        <v>252</v>
      </c>
      <c r="B64" s="2" t="s">
        <v>264</v>
      </c>
      <c r="C64" s="11">
        <v>855</v>
      </c>
      <c r="D64" s="11"/>
      <c r="E64" s="11">
        <f>C64*0.6</f>
        <v>513</v>
      </c>
    </row>
    <row r="65" spans="1:5" ht="15" x14ac:dyDescent="0.2">
      <c r="A65" s="2" t="s">
        <v>253</v>
      </c>
      <c r="B65" s="2" t="s">
        <v>265</v>
      </c>
      <c r="C65" s="11">
        <v>855</v>
      </c>
      <c r="D65" s="11"/>
      <c r="E65" s="11">
        <f t="shared" ref="E65:E67" si="5">C65*0.6</f>
        <v>513</v>
      </c>
    </row>
    <row r="66" spans="1:5" ht="15" x14ac:dyDescent="0.2">
      <c r="A66" s="2" t="s">
        <v>254</v>
      </c>
      <c r="B66" s="2" t="s">
        <v>266</v>
      </c>
      <c r="C66" s="11">
        <v>855</v>
      </c>
      <c r="D66" s="11"/>
      <c r="E66" s="11">
        <f t="shared" si="5"/>
        <v>513</v>
      </c>
    </row>
    <row r="67" spans="1:5" ht="15" x14ac:dyDescent="0.2">
      <c r="A67" s="2" t="s">
        <v>255</v>
      </c>
      <c r="B67" s="2" t="s">
        <v>267</v>
      </c>
      <c r="C67" s="11">
        <v>855</v>
      </c>
      <c r="D67" s="11"/>
      <c r="E67" s="11">
        <f t="shared" si="5"/>
        <v>513</v>
      </c>
    </row>
    <row r="68" spans="1:5" ht="15.75" x14ac:dyDescent="0.25">
      <c r="A68" s="3" t="s">
        <v>60</v>
      </c>
      <c r="B68" s="19" t="s">
        <v>92</v>
      </c>
      <c r="C68" s="19"/>
      <c r="D68" s="19"/>
      <c r="E68" s="19"/>
    </row>
    <row r="69" spans="1:5" ht="15" x14ac:dyDescent="0.2">
      <c r="A69" s="2" t="s">
        <v>256</v>
      </c>
      <c r="B69" s="2" t="s">
        <v>260</v>
      </c>
      <c r="C69" s="11">
        <v>915</v>
      </c>
      <c r="D69" s="11"/>
      <c r="E69" s="11">
        <f>C69*0.6</f>
        <v>549</v>
      </c>
    </row>
    <row r="70" spans="1:5" ht="15" x14ac:dyDescent="0.2">
      <c r="A70" s="2" t="s">
        <v>257</v>
      </c>
      <c r="B70" s="2" t="s">
        <v>261</v>
      </c>
      <c r="C70" s="11">
        <v>915</v>
      </c>
      <c r="D70" s="11"/>
      <c r="E70" s="11">
        <f t="shared" ref="E70:E72" si="6">C70*0.6</f>
        <v>549</v>
      </c>
    </row>
    <row r="71" spans="1:5" ht="15" x14ac:dyDescent="0.2">
      <c r="A71" s="2" t="s">
        <v>258</v>
      </c>
      <c r="B71" s="2" t="s">
        <v>262</v>
      </c>
      <c r="C71" s="11">
        <v>915</v>
      </c>
      <c r="D71" s="11"/>
      <c r="E71" s="11">
        <f t="shared" si="6"/>
        <v>549</v>
      </c>
    </row>
    <row r="72" spans="1:5" ht="15" x14ac:dyDescent="0.2">
      <c r="A72" s="2" t="s">
        <v>259</v>
      </c>
      <c r="B72" s="2" t="s">
        <v>263</v>
      </c>
      <c r="C72" s="11">
        <v>915</v>
      </c>
      <c r="D72" s="11"/>
      <c r="E72" s="11">
        <f t="shared" si="6"/>
        <v>549</v>
      </c>
    </row>
    <row r="73" spans="1:5" ht="15.75" x14ac:dyDescent="0.25">
      <c r="A73" s="3" t="s">
        <v>60</v>
      </c>
      <c r="B73" s="19" t="s">
        <v>83</v>
      </c>
      <c r="C73" s="20"/>
      <c r="D73" s="20"/>
      <c r="E73" s="20"/>
    </row>
    <row r="74" spans="1:5" ht="15" x14ac:dyDescent="0.2">
      <c r="A74" s="2" t="s">
        <v>101</v>
      </c>
      <c r="B74" s="2" t="s">
        <v>102</v>
      </c>
      <c r="C74" s="11">
        <v>932</v>
      </c>
      <c r="D74" s="11"/>
      <c r="E74" s="11">
        <f>C74*0.6</f>
        <v>559.19999999999993</v>
      </c>
    </row>
    <row r="75" spans="1:5" ht="15" x14ac:dyDescent="0.2">
      <c r="A75" s="2" t="s">
        <v>103</v>
      </c>
      <c r="B75" s="2" t="s">
        <v>104</v>
      </c>
      <c r="C75" s="11">
        <v>932</v>
      </c>
      <c r="D75" s="11"/>
      <c r="E75" s="11">
        <f t="shared" ref="E75:E77" si="7">C75*0.6</f>
        <v>559.19999999999993</v>
      </c>
    </row>
    <row r="76" spans="1:5" ht="15" x14ac:dyDescent="0.2">
      <c r="A76" s="2" t="s">
        <v>105</v>
      </c>
      <c r="B76" s="2" t="s">
        <v>106</v>
      </c>
      <c r="C76" s="11">
        <v>932</v>
      </c>
      <c r="D76" s="11"/>
      <c r="E76" s="11">
        <f t="shared" si="7"/>
        <v>559.19999999999993</v>
      </c>
    </row>
    <row r="77" spans="1:5" ht="15" x14ac:dyDescent="0.2">
      <c r="A77" s="2" t="s">
        <v>107</v>
      </c>
      <c r="B77" s="2" t="s">
        <v>108</v>
      </c>
      <c r="C77" s="11">
        <v>932</v>
      </c>
      <c r="D77" s="11"/>
      <c r="E77" s="11">
        <f t="shared" si="7"/>
        <v>559.19999999999993</v>
      </c>
    </row>
    <row r="78" spans="1:5" ht="15.75" x14ac:dyDescent="0.25">
      <c r="A78" s="3" t="s">
        <v>60</v>
      </c>
      <c r="B78" s="19" t="s">
        <v>92</v>
      </c>
      <c r="C78" s="19"/>
      <c r="D78" s="19"/>
      <c r="E78" s="19"/>
    </row>
    <row r="79" spans="1:5" ht="15" x14ac:dyDescent="0.2">
      <c r="A79" s="2" t="s">
        <v>109</v>
      </c>
      <c r="B79" s="2" t="s">
        <v>110</v>
      </c>
      <c r="C79" s="11">
        <v>992</v>
      </c>
      <c r="D79" s="11"/>
      <c r="E79" s="11">
        <f>C79*0.6</f>
        <v>595.19999999999993</v>
      </c>
    </row>
    <row r="80" spans="1:5" ht="15" x14ac:dyDescent="0.2">
      <c r="A80" s="2" t="s">
        <v>111</v>
      </c>
      <c r="B80" s="2" t="s">
        <v>112</v>
      </c>
      <c r="C80" s="11">
        <v>992</v>
      </c>
      <c r="D80" s="11"/>
      <c r="E80" s="11">
        <f t="shared" ref="E80:E82" si="8">C80*0.6</f>
        <v>595.19999999999993</v>
      </c>
    </row>
    <row r="81" spans="1:5" ht="15" x14ac:dyDescent="0.2">
      <c r="A81" s="2" t="s">
        <v>113</v>
      </c>
      <c r="B81" s="2" t="s">
        <v>114</v>
      </c>
      <c r="C81" s="11">
        <v>992</v>
      </c>
      <c r="D81" s="11"/>
      <c r="E81" s="11">
        <f t="shared" si="8"/>
        <v>595.19999999999993</v>
      </c>
    </row>
    <row r="82" spans="1:5" ht="15" x14ac:dyDescent="0.2">
      <c r="A82" s="2" t="s">
        <v>115</v>
      </c>
      <c r="B82" s="2" t="s">
        <v>116</v>
      </c>
      <c r="C82" s="11">
        <v>992</v>
      </c>
      <c r="D82" s="11"/>
      <c r="E82" s="11">
        <f t="shared" si="8"/>
        <v>595.19999999999993</v>
      </c>
    </row>
    <row r="83" spans="1:5" ht="15.75" x14ac:dyDescent="0.25">
      <c r="A83" s="3" t="s">
        <v>60</v>
      </c>
      <c r="B83" s="19" t="s">
        <v>83</v>
      </c>
      <c r="C83" s="19"/>
      <c r="D83" s="19"/>
      <c r="E83" s="19"/>
    </row>
    <row r="84" spans="1:5" ht="15" x14ac:dyDescent="0.2">
      <c r="A84" s="2" t="s">
        <v>117</v>
      </c>
      <c r="B84" s="2" t="s">
        <v>118</v>
      </c>
      <c r="C84" s="11">
        <v>950</v>
      </c>
      <c r="D84" s="11"/>
      <c r="E84" s="11">
        <f>C84*0.6</f>
        <v>570</v>
      </c>
    </row>
    <row r="85" spans="1:5" ht="15" x14ac:dyDescent="0.2">
      <c r="A85" s="2" t="s">
        <v>119</v>
      </c>
      <c r="B85" s="2" t="s">
        <v>120</v>
      </c>
      <c r="C85" s="11">
        <v>950</v>
      </c>
      <c r="D85" s="11"/>
      <c r="E85" s="11">
        <f t="shared" ref="E85:E87" si="9">C85*0.6</f>
        <v>570</v>
      </c>
    </row>
    <row r="86" spans="1:5" ht="15" x14ac:dyDescent="0.2">
      <c r="A86" s="2" t="s">
        <v>121</v>
      </c>
      <c r="B86" s="2" t="s">
        <v>122</v>
      </c>
      <c r="C86" s="11">
        <v>950</v>
      </c>
      <c r="D86" s="11"/>
      <c r="E86" s="11">
        <f t="shared" si="9"/>
        <v>570</v>
      </c>
    </row>
    <row r="87" spans="1:5" ht="15" x14ac:dyDescent="0.2">
      <c r="A87" s="2" t="s">
        <v>123</v>
      </c>
      <c r="B87" s="2" t="s">
        <v>124</v>
      </c>
      <c r="C87" s="11">
        <v>950</v>
      </c>
      <c r="D87" s="11"/>
      <c r="E87" s="11">
        <f t="shared" si="9"/>
        <v>570</v>
      </c>
    </row>
    <row r="88" spans="1:5" ht="15.75" x14ac:dyDescent="0.25">
      <c r="A88" s="3" t="s">
        <v>60</v>
      </c>
      <c r="B88" s="19" t="s">
        <v>92</v>
      </c>
      <c r="C88" s="19"/>
      <c r="D88" s="19"/>
      <c r="E88" s="19"/>
    </row>
    <row r="89" spans="1:5" ht="15" x14ac:dyDescent="0.2">
      <c r="A89" s="2" t="s">
        <v>125</v>
      </c>
      <c r="B89" s="2" t="s">
        <v>126</v>
      </c>
      <c r="C89" s="11">
        <v>1010</v>
      </c>
      <c r="D89" s="11"/>
      <c r="E89" s="11">
        <f>C89*0.6</f>
        <v>606</v>
      </c>
    </row>
    <row r="90" spans="1:5" ht="15" x14ac:dyDescent="0.2">
      <c r="A90" s="2" t="s">
        <v>127</v>
      </c>
      <c r="B90" s="2" t="s">
        <v>128</v>
      </c>
      <c r="C90" s="11">
        <v>1010</v>
      </c>
      <c r="D90" s="11"/>
      <c r="E90" s="11">
        <f t="shared" ref="E90:E92" si="10">C90*0.6</f>
        <v>606</v>
      </c>
    </row>
    <row r="91" spans="1:5" ht="15" x14ac:dyDescent="0.2">
      <c r="A91" s="2" t="s">
        <v>129</v>
      </c>
      <c r="B91" s="2" t="s">
        <v>130</v>
      </c>
      <c r="C91" s="11">
        <v>1010</v>
      </c>
      <c r="D91" s="11"/>
      <c r="E91" s="11">
        <f t="shared" si="10"/>
        <v>606</v>
      </c>
    </row>
    <row r="92" spans="1:5" ht="15" x14ac:dyDescent="0.2">
      <c r="A92" s="2" t="s">
        <v>131</v>
      </c>
      <c r="B92" s="2" t="s">
        <v>132</v>
      </c>
      <c r="C92" s="11">
        <v>1010</v>
      </c>
      <c r="D92" s="11"/>
      <c r="E92" s="11">
        <f t="shared" si="10"/>
        <v>606</v>
      </c>
    </row>
    <row r="94" spans="1:5" ht="18.75" customHeight="1" x14ac:dyDescent="0.25">
      <c r="A94" s="3" t="s">
        <v>59</v>
      </c>
      <c r="B94" s="19" t="s">
        <v>83</v>
      </c>
      <c r="C94" s="20"/>
      <c r="D94" s="20"/>
      <c r="E94" s="20"/>
    </row>
    <row r="95" spans="1:5" s="2" customFormat="1" ht="15" x14ac:dyDescent="0.2">
      <c r="A95" s="2" t="s">
        <v>143</v>
      </c>
      <c r="B95" s="2" t="s">
        <v>144</v>
      </c>
      <c r="C95" s="11">
        <v>926</v>
      </c>
      <c r="D95" s="11"/>
      <c r="E95" s="11">
        <f>C95*0.6</f>
        <v>555.6</v>
      </c>
    </row>
    <row r="96" spans="1:5" s="2" customFormat="1" ht="15" x14ac:dyDescent="0.2">
      <c r="A96" s="2" t="s">
        <v>145</v>
      </c>
      <c r="B96" s="2" t="s">
        <v>146</v>
      </c>
      <c r="C96" s="11">
        <v>926</v>
      </c>
      <c r="D96" s="11"/>
      <c r="E96" s="11">
        <f t="shared" ref="E96:E98" si="11">C96*0.6</f>
        <v>555.6</v>
      </c>
    </row>
    <row r="97" spans="1:5" s="2" customFormat="1" ht="15" x14ac:dyDescent="0.2">
      <c r="A97" s="2" t="s">
        <v>147</v>
      </c>
      <c r="B97" s="2" t="s">
        <v>148</v>
      </c>
      <c r="C97" s="11">
        <v>926</v>
      </c>
      <c r="D97" s="11"/>
      <c r="E97" s="11">
        <f t="shared" si="11"/>
        <v>555.6</v>
      </c>
    </row>
    <row r="98" spans="1:5" s="2" customFormat="1" ht="15" x14ac:dyDescent="0.2">
      <c r="A98" s="2" t="s">
        <v>149</v>
      </c>
      <c r="B98" s="2" t="s">
        <v>150</v>
      </c>
      <c r="C98" s="11">
        <v>926</v>
      </c>
      <c r="D98" s="11"/>
      <c r="E98" s="11">
        <f t="shared" si="11"/>
        <v>555.6</v>
      </c>
    </row>
    <row r="99" spans="1:5" s="2" customFormat="1" ht="15.75" x14ac:dyDescent="0.25">
      <c r="A99" s="3" t="s">
        <v>59</v>
      </c>
      <c r="B99" s="19" t="s">
        <v>92</v>
      </c>
      <c r="C99" s="19"/>
      <c r="D99" s="19"/>
      <c r="E99" s="19"/>
    </row>
    <row r="100" spans="1:5" s="2" customFormat="1" ht="15" x14ac:dyDescent="0.2">
      <c r="A100" s="2" t="s">
        <v>151</v>
      </c>
      <c r="B100" s="2" t="s">
        <v>152</v>
      </c>
      <c r="C100" s="11">
        <v>986</v>
      </c>
      <c r="D100" s="11"/>
      <c r="E100" s="11">
        <f>C100*0.6</f>
        <v>591.6</v>
      </c>
    </row>
    <row r="101" spans="1:5" ht="15" x14ac:dyDescent="0.2">
      <c r="A101" s="2" t="s">
        <v>153</v>
      </c>
      <c r="B101" s="2" t="s">
        <v>154</v>
      </c>
      <c r="C101" s="11">
        <v>986</v>
      </c>
      <c r="D101" s="11"/>
      <c r="E101" s="11">
        <f t="shared" ref="E101:E103" si="12">C101*0.6</f>
        <v>591.6</v>
      </c>
    </row>
    <row r="102" spans="1:5" ht="15" x14ac:dyDescent="0.2">
      <c r="A102" s="2" t="s">
        <v>155</v>
      </c>
      <c r="B102" s="2" t="s">
        <v>156</v>
      </c>
      <c r="C102" s="11">
        <v>986</v>
      </c>
      <c r="D102" s="11"/>
      <c r="E102" s="11">
        <f t="shared" si="12"/>
        <v>591.6</v>
      </c>
    </row>
    <row r="103" spans="1:5" s="2" customFormat="1" ht="15" x14ac:dyDescent="0.2">
      <c r="A103" s="2" t="s">
        <v>157</v>
      </c>
      <c r="B103" s="2" t="s">
        <v>158</v>
      </c>
      <c r="C103" s="11">
        <v>986</v>
      </c>
      <c r="D103" s="11"/>
      <c r="E103" s="11">
        <f t="shared" si="12"/>
        <v>591.6</v>
      </c>
    </row>
    <row r="104" spans="1:5" s="2" customFormat="1" ht="15.75" x14ac:dyDescent="0.25">
      <c r="A104" s="3" t="s">
        <v>59</v>
      </c>
      <c r="B104" s="19" t="s">
        <v>83</v>
      </c>
      <c r="C104" s="20"/>
      <c r="D104" s="20"/>
      <c r="E104" s="20"/>
    </row>
    <row r="105" spans="1:5" s="2" customFormat="1" ht="15" x14ac:dyDescent="0.2">
      <c r="A105" s="2" t="s">
        <v>268</v>
      </c>
      <c r="B105" s="2" t="s">
        <v>276</v>
      </c>
      <c r="C105" s="11">
        <v>1000</v>
      </c>
      <c r="D105" s="11"/>
      <c r="E105" s="11">
        <f>C105*0.6</f>
        <v>600</v>
      </c>
    </row>
    <row r="106" spans="1:5" s="2" customFormat="1" ht="15" x14ac:dyDescent="0.2">
      <c r="A106" s="14" t="s">
        <v>269</v>
      </c>
      <c r="B106" s="2" t="s">
        <v>277</v>
      </c>
      <c r="C106" s="11">
        <v>1000</v>
      </c>
      <c r="D106" s="11"/>
      <c r="E106" s="11">
        <f t="shared" ref="E106:E108" si="13">C106*0.6</f>
        <v>600</v>
      </c>
    </row>
    <row r="107" spans="1:5" s="2" customFormat="1" ht="15" x14ac:dyDescent="0.2">
      <c r="A107" s="2" t="s">
        <v>270</v>
      </c>
      <c r="B107" s="2" t="s">
        <v>278</v>
      </c>
      <c r="C107" s="11">
        <v>1000</v>
      </c>
      <c r="D107" s="11"/>
      <c r="E107" s="11">
        <f t="shared" si="13"/>
        <v>600</v>
      </c>
    </row>
    <row r="108" spans="1:5" s="2" customFormat="1" ht="15" x14ac:dyDescent="0.2">
      <c r="A108" s="2" t="s">
        <v>271</v>
      </c>
      <c r="B108" s="2" t="s">
        <v>279</v>
      </c>
      <c r="C108" s="11">
        <v>1000</v>
      </c>
      <c r="D108" s="11"/>
      <c r="E108" s="11">
        <f t="shared" si="13"/>
        <v>600</v>
      </c>
    </row>
    <row r="109" spans="1:5" ht="15.75" x14ac:dyDescent="0.25">
      <c r="A109" s="3" t="s">
        <v>59</v>
      </c>
      <c r="B109" s="19" t="s">
        <v>92</v>
      </c>
      <c r="C109" s="19"/>
      <c r="D109" s="19"/>
      <c r="E109" s="19"/>
    </row>
    <row r="110" spans="1:5" ht="15" x14ac:dyDescent="0.2">
      <c r="A110" s="2" t="s">
        <v>272</v>
      </c>
      <c r="B110" s="2" t="s">
        <v>280</v>
      </c>
      <c r="C110" s="11">
        <v>1060</v>
      </c>
      <c r="D110" s="11"/>
      <c r="E110" s="11">
        <f>C110*0.6</f>
        <v>636</v>
      </c>
    </row>
    <row r="111" spans="1:5" ht="15" x14ac:dyDescent="0.2">
      <c r="A111" s="2" t="s">
        <v>273</v>
      </c>
      <c r="B111" s="2" t="s">
        <v>281</v>
      </c>
      <c r="C111" s="11">
        <v>1060</v>
      </c>
      <c r="D111" s="11"/>
      <c r="E111" s="11">
        <f t="shared" ref="E111:E113" si="14">C111*0.6</f>
        <v>636</v>
      </c>
    </row>
    <row r="112" spans="1:5" ht="15" x14ac:dyDescent="0.2">
      <c r="A112" s="2" t="s">
        <v>274</v>
      </c>
      <c r="B112" s="2" t="s">
        <v>282</v>
      </c>
      <c r="C112" s="11">
        <v>1060</v>
      </c>
      <c r="D112" s="11"/>
      <c r="E112" s="11">
        <f t="shared" si="14"/>
        <v>636</v>
      </c>
    </row>
    <row r="113" spans="1:5" ht="15" x14ac:dyDescent="0.2">
      <c r="A113" s="2" t="s">
        <v>275</v>
      </c>
      <c r="B113" s="2" t="s">
        <v>283</v>
      </c>
      <c r="C113" s="11">
        <v>1060</v>
      </c>
      <c r="D113" s="11"/>
      <c r="E113" s="11">
        <f t="shared" si="14"/>
        <v>636</v>
      </c>
    </row>
    <row r="114" spans="1:5" ht="15.75" x14ac:dyDescent="0.25">
      <c r="A114" s="3" t="s">
        <v>59</v>
      </c>
      <c r="B114" s="19" t="s">
        <v>83</v>
      </c>
      <c r="C114" s="20"/>
      <c r="D114" s="20"/>
      <c r="E114" s="20"/>
    </row>
    <row r="115" spans="1:5" ht="15.75" x14ac:dyDescent="0.25">
      <c r="A115" s="2" t="s">
        <v>159</v>
      </c>
      <c r="B115" s="2" t="s">
        <v>160</v>
      </c>
      <c r="C115" s="11">
        <v>1074</v>
      </c>
      <c r="D115" s="11"/>
      <c r="E115" s="11">
        <f>C115*0.6</f>
        <v>644.4</v>
      </c>
    </row>
    <row r="116" spans="1:5" ht="15.75" x14ac:dyDescent="0.25">
      <c r="A116" s="2" t="s">
        <v>161</v>
      </c>
      <c r="B116" s="2" t="s">
        <v>162</v>
      </c>
      <c r="C116" s="11">
        <v>1074</v>
      </c>
      <c r="D116" s="11"/>
      <c r="E116" s="11">
        <f t="shared" ref="E116:E118" si="15">C116*0.6</f>
        <v>644.4</v>
      </c>
    </row>
    <row r="117" spans="1:5" ht="15" x14ac:dyDescent="0.2">
      <c r="A117" s="2" t="s">
        <v>163</v>
      </c>
      <c r="B117" s="2" t="s">
        <v>164</v>
      </c>
      <c r="C117" s="11">
        <v>1074</v>
      </c>
      <c r="D117" s="11"/>
      <c r="E117" s="11">
        <f t="shared" si="15"/>
        <v>644.4</v>
      </c>
    </row>
    <row r="118" spans="1:5" ht="15" x14ac:dyDescent="0.2">
      <c r="A118" s="2" t="s">
        <v>165</v>
      </c>
      <c r="B118" s="2" t="s">
        <v>166</v>
      </c>
      <c r="C118" s="11">
        <v>1074</v>
      </c>
      <c r="D118" s="11"/>
      <c r="E118" s="11">
        <f t="shared" si="15"/>
        <v>644.4</v>
      </c>
    </row>
    <row r="119" spans="1:5" ht="15.75" x14ac:dyDescent="0.25">
      <c r="A119" s="3" t="s">
        <v>59</v>
      </c>
      <c r="B119" s="3" t="s">
        <v>92</v>
      </c>
      <c r="C119" s="1"/>
      <c r="D119" s="1"/>
      <c r="E119" s="4"/>
    </row>
    <row r="120" spans="1:5" ht="15.75" x14ac:dyDescent="0.25">
      <c r="A120" s="2" t="s">
        <v>167</v>
      </c>
      <c r="B120" s="2" t="s">
        <v>168</v>
      </c>
      <c r="C120" s="11">
        <v>1134</v>
      </c>
      <c r="D120" s="11"/>
      <c r="E120" s="11">
        <f>C120*0.6</f>
        <v>680.4</v>
      </c>
    </row>
    <row r="121" spans="1:5" ht="15.75" x14ac:dyDescent="0.25">
      <c r="A121" s="2" t="s">
        <v>169</v>
      </c>
      <c r="B121" s="2" t="s">
        <v>170</v>
      </c>
      <c r="C121" s="11">
        <v>1134</v>
      </c>
      <c r="D121" s="11"/>
      <c r="E121" s="11">
        <f t="shared" ref="E121:E123" si="16">C121*0.6</f>
        <v>680.4</v>
      </c>
    </row>
    <row r="122" spans="1:5" ht="15" x14ac:dyDescent="0.2">
      <c r="A122" s="2" t="s">
        <v>171</v>
      </c>
      <c r="B122" s="2" t="s">
        <v>172</v>
      </c>
      <c r="C122" s="11">
        <v>1134</v>
      </c>
      <c r="D122" s="11"/>
      <c r="E122" s="11">
        <f t="shared" si="16"/>
        <v>680.4</v>
      </c>
    </row>
    <row r="123" spans="1:5" ht="15" x14ac:dyDescent="0.2">
      <c r="A123" s="2" t="s">
        <v>173</v>
      </c>
      <c r="B123" s="2" t="s">
        <v>174</v>
      </c>
      <c r="C123" s="11">
        <v>1134</v>
      </c>
      <c r="D123" s="11"/>
      <c r="E123" s="11">
        <f t="shared" si="16"/>
        <v>680.4</v>
      </c>
    </row>
    <row r="124" spans="1:5" ht="15" x14ac:dyDescent="0.2">
      <c r="A124" s="2"/>
      <c r="B124" s="2"/>
      <c r="C124" s="11"/>
      <c r="D124" s="11"/>
      <c r="E124" s="11"/>
    </row>
    <row r="125" spans="1:5" ht="18" x14ac:dyDescent="0.25">
      <c r="A125" s="2"/>
      <c r="B125" s="18" t="s">
        <v>236</v>
      </c>
      <c r="C125" s="11"/>
      <c r="D125" s="11"/>
      <c r="E125" s="11"/>
    </row>
    <row r="126" spans="1:5" ht="15" x14ac:dyDescent="0.2">
      <c r="A126" s="2"/>
      <c r="B126" s="2"/>
      <c r="C126" s="11"/>
      <c r="D126" s="11"/>
      <c r="E126" s="11"/>
    </row>
    <row r="127" spans="1:5" x14ac:dyDescent="0.2">
      <c r="A127" s="8" t="s">
        <v>0</v>
      </c>
      <c r="B127" s="8" t="s">
        <v>1</v>
      </c>
      <c r="C127" s="5" t="s">
        <v>312</v>
      </c>
      <c r="D127" s="5"/>
      <c r="E127" s="5" t="s">
        <v>313</v>
      </c>
    </row>
    <row r="128" spans="1:5" ht="15.75" x14ac:dyDescent="0.25">
      <c r="A128" s="6" t="s">
        <v>60</v>
      </c>
      <c r="B128" s="19" t="s">
        <v>57</v>
      </c>
      <c r="C128" s="19"/>
      <c r="D128" s="19"/>
      <c r="E128" s="19"/>
    </row>
    <row r="129" spans="1:5" ht="15.75" x14ac:dyDescent="0.25">
      <c r="A129" s="6"/>
      <c r="B129" s="3" t="s">
        <v>233</v>
      </c>
      <c r="C129" s="3"/>
      <c r="D129" s="3"/>
      <c r="E129" s="3"/>
    </row>
    <row r="130" spans="1:5" ht="15.75" x14ac:dyDescent="0.25">
      <c r="A130" s="3"/>
      <c r="B130" s="19" t="s">
        <v>65</v>
      </c>
      <c r="C130" s="19"/>
      <c r="D130" s="19"/>
      <c r="E130" s="19"/>
    </row>
    <row r="131" spans="1:5" ht="15" x14ac:dyDescent="0.2">
      <c r="A131" s="2" t="s">
        <v>2</v>
      </c>
      <c r="B131" s="2" t="s">
        <v>13</v>
      </c>
      <c r="C131" s="11">
        <v>606</v>
      </c>
      <c r="D131" s="11"/>
      <c r="E131" s="11">
        <f>C131*0.6</f>
        <v>363.59999999999997</v>
      </c>
    </row>
    <row r="132" spans="1:5" ht="15" x14ac:dyDescent="0.2">
      <c r="A132" s="2" t="s">
        <v>3</v>
      </c>
      <c r="B132" s="2" t="s">
        <v>12</v>
      </c>
      <c r="C132" s="11">
        <v>606</v>
      </c>
      <c r="D132" s="11"/>
      <c r="E132" s="11">
        <f t="shared" ref="E132:E141" si="17">C132*0.6</f>
        <v>363.59999999999997</v>
      </c>
    </row>
    <row r="133" spans="1:5" ht="15.75" x14ac:dyDescent="0.25">
      <c r="A133" s="3"/>
      <c r="B133" s="3" t="s">
        <v>76</v>
      </c>
      <c r="C133" s="4">
        <v>666</v>
      </c>
      <c r="D133" s="4"/>
      <c r="E133" s="4">
        <f t="shared" si="17"/>
        <v>399.59999999999997</v>
      </c>
    </row>
    <row r="134" spans="1:5" ht="15" x14ac:dyDescent="0.2">
      <c r="A134" s="2" t="s">
        <v>4</v>
      </c>
      <c r="B134" s="2" t="s">
        <v>14</v>
      </c>
      <c r="C134" s="11">
        <v>673</v>
      </c>
      <c r="D134" s="11"/>
      <c r="E134" s="11">
        <f t="shared" si="17"/>
        <v>403.8</v>
      </c>
    </row>
    <row r="135" spans="1:5" ht="15.75" x14ac:dyDescent="0.25">
      <c r="A135" s="3"/>
      <c r="B135" s="3" t="s">
        <v>77</v>
      </c>
      <c r="C135" s="4">
        <v>733</v>
      </c>
      <c r="D135" s="4"/>
      <c r="E135" s="4">
        <f t="shared" si="17"/>
        <v>439.8</v>
      </c>
    </row>
    <row r="136" spans="1:5" ht="15" x14ac:dyDescent="0.2">
      <c r="A136" s="2" t="s">
        <v>248</v>
      </c>
      <c r="B136" s="2" t="s">
        <v>243</v>
      </c>
      <c r="C136" s="11">
        <v>750</v>
      </c>
      <c r="D136" s="11"/>
      <c r="E136" s="11">
        <f t="shared" si="17"/>
        <v>450</v>
      </c>
    </row>
    <row r="137" spans="1:5" ht="15.75" x14ac:dyDescent="0.25">
      <c r="A137" s="3"/>
      <c r="B137" s="3" t="s">
        <v>249</v>
      </c>
      <c r="C137" s="4">
        <v>810</v>
      </c>
      <c r="D137" s="4"/>
      <c r="E137" s="4">
        <f t="shared" si="17"/>
        <v>486</v>
      </c>
    </row>
    <row r="138" spans="1:5" ht="15" x14ac:dyDescent="0.2">
      <c r="A138" s="2" t="s">
        <v>5</v>
      </c>
      <c r="B138" s="2" t="s">
        <v>15</v>
      </c>
      <c r="C138" s="11">
        <v>825</v>
      </c>
      <c r="D138" s="11"/>
      <c r="E138" s="11">
        <f t="shared" si="17"/>
        <v>495</v>
      </c>
    </row>
    <row r="139" spans="1:5" ht="15.75" x14ac:dyDescent="0.25">
      <c r="A139" s="3"/>
      <c r="B139" s="3" t="s">
        <v>78</v>
      </c>
      <c r="C139" s="4">
        <v>885</v>
      </c>
      <c r="D139" s="4"/>
      <c r="E139" s="4">
        <f t="shared" si="17"/>
        <v>531</v>
      </c>
    </row>
    <row r="140" spans="1:5" ht="15" x14ac:dyDescent="0.2">
      <c r="A140" s="2" t="s">
        <v>6</v>
      </c>
      <c r="B140" s="2" t="s">
        <v>16</v>
      </c>
      <c r="C140" s="11">
        <v>843</v>
      </c>
      <c r="D140" s="11"/>
      <c r="E140" s="11">
        <f t="shared" si="17"/>
        <v>505.79999999999995</v>
      </c>
    </row>
    <row r="141" spans="1:5" ht="15.75" x14ac:dyDescent="0.25">
      <c r="A141" s="3"/>
      <c r="B141" s="3" t="s">
        <v>79</v>
      </c>
      <c r="C141" s="4">
        <v>903</v>
      </c>
      <c r="D141" s="4"/>
      <c r="E141" s="4">
        <f t="shared" si="17"/>
        <v>541.79999999999995</v>
      </c>
    </row>
    <row r="142" spans="1:5" ht="15.75" x14ac:dyDescent="0.25">
      <c r="C142" s="1"/>
      <c r="D142" s="1"/>
      <c r="E142" s="4"/>
    </row>
    <row r="143" spans="1:5" ht="15.75" x14ac:dyDescent="0.25">
      <c r="A143" s="6" t="s">
        <v>61</v>
      </c>
      <c r="B143" s="19" t="s">
        <v>62</v>
      </c>
      <c r="C143" s="19"/>
      <c r="D143" s="19"/>
      <c r="E143" s="19"/>
    </row>
    <row r="144" spans="1:5" ht="15.75" x14ac:dyDescent="0.25">
      <c r="A144" s="6"/>
      <c r="B144" s="3" t="s">
        <v>233</v>
      </c>
      <c r="C144" s="3"/>
      <c r="D144" s="3"/>
      <c r="E144" s="3"/>
    </row>
    <row r="145" spans="1:5" ht="15.75" x14ac:dyDescent="0.25">
      <c r="A145" s="3"/>
      <c r="B145" s="19" t="s">
        <v>65</v>
      </c>
      <c r="C145" s="19"/>
      <c r="D145" s="19"/>
      <c r="E145" s="19"/>
    </row>
    <row r="146" spans="1:5" ht="15" x14ac:dyDescent="0.2">
      <c r="A146" s="2" t="s">
        <v>7</v>
      </c>
      <c r="B146" s="2" t="s">
        <v>17</v>
      </c>
      <c r="C146" s="11">
        <v>803</v>
      </c>
      <c r="D146" s="11"/>
      <c r="E146" s="11">
        <f>C146*0.6</f>
        <v>481.79999999999995</v>
      </c>
    </row>
    <row r="147" spans="1:5" ht="15.75" x14ac:dyDescent="0.25">
      <c r="A147" s="3"/>
      <c r="B147" s="3" t="s">
        <v>80</v>
      </c>
      <c r="C147" s="4">
        <v>863</v>
      </c>
      <c r="D147" s="4"/>
      <c r="E147" s="4">
        <f t="shared" ref="E147:E153" si="18">C147*0.6</f>
        <v>517.79999999999995</v>
      </c>
    </row>
    <row r="148" spans="1:5" ht="15" x14ac:dyDescent="0.2">
      <c r="A148" s="2" t="s">
        <v>8</v>
      </c>
      <c r="B148" s="2" t="s">
        <v>18</v>
      </c>
      <c r="C148" s="11">
        <v>820</v>
      </c>
      <c r="D148" s="11"/>
      <c r="E148" s="11">
        <f t="shared" si="18"/>
        <v>492</v>
      </c>
    </row>
    <row r="149" spans="1:5" ht="15.75" x14ac:dyDescent="0.25">
      <c r="A149" s="3"/>
      <c r="B149" s="3" t="s">
        <v>81</v>
      </c>
      <c r="C149" s="4">
        <v>880</v>
      </c>
      <c r="D149" s="4"/>
      <c r="E149" s="4">
        <f t="shared" si="18"/>
        <v>528</v>
      </c>
    </row>
    <row r="150" spans="1:5" ht="15" x14ac:dyDescent="0.2">
      <c r="A150" s="2" t="s">
        <v>251</v>
      </c>
      <c r="B150" s="2" t="s">
        <v>246</v>
      </c>
      <c r="C150" s="11">
        <v>893</v>
      </c>
      <c r="D150" s="11"/>
      <c r="E150" s="11">
        <f t="shared" si="18"/>
        <v>535.79999999999995</v>
      </c>
    </row>
    <row r="151" spans="1:5" ht="15.75" x14ac:dyDescent="0.25">
      <c r="A151" s="3"/>
      <c r="B151" s="3" t="s">
        <v>250</v>
      </c>
      <c r="C151" s="4">
        <v>953</v>
      </c>
      <c r="D151" s="4"/>
      <c r="E151" s="4">
        <f t="shared" si="18"/>
        <v>571.79999999999995</v>
      </c>
    </row>
    <row r="152" spans="1:5" ht="15" x14ac:dyDescent="0.2">
      <c r="A152" s="2" t="s">
        <v>9</v>
      </c>
      <c r="B152" s="2" t="s">
        <v>19</v>
      </c>
      <c r="C152" s="11">
        <v>966</v>
      </c>
      <c r="D152" s="11"/>
      <c r="E152" s="11">
        <f t="shared" si="18"/>
        <v>579.6</v>
      </c>
    </row>
    <row r="153" spans="1:5" ht="15.75" x14ac:dyDescent="0.25">
      <c r="A153" s="3"/>
      <c r="B153" s="3" t="s">
        <v>82</v>
      </c>
      <c r="C153" s="4">
        <v>1026</v>
      </c>
      <c r="D153" s="4"/>
      <c r="E153" s="4">
        <f t="shared" si="18"/>
        <v>615.6</v>
      </c>
    </row>
    <row r="154" spans="1:5" ht="15.75" x14ac:dyDescent="0.25">
      <c r="A154" s="3"/>
      <c r="B154" s="3"/>
      <c r="C154" s="4"/>
      <c r="D154" s="4"/>
      <c r="E154" s="4"/>
    </row>
    <row r="155" spans="1:5" x14ac:dyDescent="0.2">
      <c r="A155" s="6" t="s">
        <v>175</v>
      </c>
      <c r="B155" s="6" t="s">
        <v>1</v>
      </c>
      <c r="C155" s="5" t="s">
        <v>312</v>
      </c>
      <c r="D155" s="10"/>
      <c r="E155" s="10" t="s">
        <v>314</v>
      </c>
    </row>
    <row r="156" spans="1:5" ht="18" x14ac:dyDescent="0.25">
      <c r="B156" s="12" t="s">
        <v>238</v>
      </c>
    </row>
    <row r="157" spans="1:5" ht="15.75" x14ac:dyDescent="0.25">
      <c r="B157" s="3" t="s">
        <v>233</v>
      </c>
    </row>
    <row r="158" spans="1:5" ht="15" x14ac:dyDescent="0.2">
      <c r="A158" s="2" t="s">
        <v>284</v>
      </c>
      <c r="B158" s="2" t="s">
        <v>285</v>
      </c>
      <c r="C158" s="11">
        <v>1035</v>
      </c>
      <c r="D158" s="11"/>
      <c r="E158" s="11">
        <f>C158*0.65</f>
        <v>672.75</v>
      </c>
    </row>
    <row r="159" spans="1:5" ht="15" x14ac:dyDescent="0.2">
      <c r="A159" s="2" t="s">
        <v>134</v>
      </c>
      <c r="B159" s="2" t="s">
        <v>212</v>
      </c>
      <c r="C159" s="11">
        <v>1112</v>
      </c>
      <c r="D159" s="11"/>
      <c r="E159" s="11">
        <f t="shared" ref="E159:E164" si="19">C159*0.65</f>
        <v>722.80000000000007</v>
      </c>
    </row>
    <row r="160" spans="1:5" ht="15" x14ac:dyDescent="0.2">
      <c r="A160" s="2" t="s">
        <v>135</v>
      </c>
      <c r="B160" s="2" t="s">
        <v>213</v>
      </c>
      <c r="C160" s="11">
        <v>1130</v>
      </c>
      <c r="D160" s="11"/>
      <c r="E160" s="11">
        <f t="shared" si="19"/>
        <v>734.5</v>
      </c>
    </row>
    <row r="161" spans="1:5" ht="15" x14ac:dyDescent="0.2">
      <c r="A161" s="2" t="s">
        <v>136</v>
      </c>
      <c r="B161" s="2" t="s">
        <v>214</v>
      </c>
      <c r="C161" s="11">
        <v>1089</v>
      </c>
      <c r="D161" s="11"/>
      <c r="E161" s="11">
        <f t="shared" si="19"/>
        <v>707.85</v>
      </c>
    </row>
    <row r="162" spans="1:5" ht="15" x14ac:dyDescent="0.2">
      <c r="A162" s="2" t="s">
        <v>137</v>
      </c>
      <c r="B162" s="2" t="s">
        <v>215</v>
      </c>
      <c r="C162" s="11">
        <v>1106</v>
      </c>
      <c r="D162" s="11"/>
      <c r="E162" s="11">
        <f t="shared" si="19"/>
        <v>718.9</v>
      </c>
    </row>
    <row r="163" spans="1:5" ht="15" x14ac:dyDescent="0.2">
      <c r="A163" s="2" t="s">
        <v>308</v>
      </c>
      <c r="B163" s="2" t="s">
        <v>309</v>
      </c>
      <c r="C163" s="11">
        <v>1180</v>
      </c>
      <c r="D163" s="11"/>
      <c r="E163" s="11">
        <f t="shared" si="19"/>
        <v>767</v>
      </c>
    </row>
    <row r="164" spans="1:5" ht="15" x14ac:dyDescent="0.2">
      <c r="A164" s="2" t="s">
        <v>176</v>
      </c>
      <c r="B164" s="2" t="s">
        <v>216</v>
      </c>
      <c r="C164" s="11">
        <v>1254</v>
      </c>
      <c r="D164" s="11"/>
      <c r="E164" s="11">
        <f t="shared" si="19"/>
        <v>815.1</v>
      </c>
    </row>
    <row r="165" spans="1:5" ht="15" x14ac:dyDescent="0.2">
      <c r="E165" s="11"/>
    </row>
    <row r="166" spans="1:5" ht="15" x14ac:dyDescent="0.2">
      <c r="A166" s="2" t="s">
        <v>286</v>
      </c>
      <c r="B166" s="2" t="s">
        <v>285</v>
      </c>
      <c r="C166" s="11">
        <v>1000</v>
      </c>
      <c r="D166" s="11"/>
      <c r="E166" s="11">
        <f>C166*0.65</f>
        <v>650</v>
      </c>
    </row>
    <row r="167" spans="1:5" ht="15" x14ac:dyDescent="0.2">
      <c r="A167" s="2" t="s">
        <v>138</v>
      </c>
      <c r="B167" s="2" t="s">
        <v>212</v>
      </c>
      <c r="C167" s="11">
        <v>1075</v>
      </c>
      <c r="D167" s="11"/>
      <c r="E167" s="11">
        <f t="shared" ref="E167:E172" si="20">C167*0.65</f>
        <v>698.75</v>
      </c>
    </row>
    <row r="168" spans="1:5" ht="15" x14ac:dyDescent="0.2">
      <c r="A168" s="2" t="s">
        <v>139</v>
      </c>
      <c r="B168" s="2" t="s">
        <v>213</v>
      </c>
      <c r="C168" s="11">
        <v>1093</v>
      </c>
      <c r="D168" s="11"/>
      <c r="E168" s="11">
        <f t="shared" si="20"/>
        <v>710.45</v>
      </c>
    </row>
    <row r="169" spans="1:5" ht="15" x14ac:dyDescent="0.2">
      <c r="A169" s="2" t="s">
        <v>140</v>
      </c>
      <c r="B169" s="2" t="s">
        <v>214</v>
      </c>
      <c r="C169" s="11">
        <v>1053</v>
      </c>
      <c r="D169" s="11"/>
      <c r="E169" s="11">
        <f t="shared" si="20"/>
        <v>684.45</v>
      </c>
    </row>
    <row r="170" spans="1:5" ht="15" x14ac:dyDescent="0.2">
      <c r="A170" s="2" t="s">
        <v>141</v>
      </c>
      <c r="B170" s="2" t="s">
        <v>215</v>
      </c>
      <c r="C170" s="11">
        <v>1070</v>
      </c>
      <c r="D170" s="11"/>
      <c r="E170" s="11">
        <f t="shared" si="20"/>
        <v>695.5</v>
      </c>
    </row>
    <row r="171" spans="1:5" ht="15" x14ac:dyDescent="0.2">
      <c r="A171" s="2" t="s">
        <v>310</v>
      </c>
      <c r="B171" s="2" t="s">
        <v>309</v>
      </c>
      <c r="C171" s="11">
        <v>1143</v>
      </c>
      <c r="D171" s="11"/>
      <c r="E171" s="11">
        <f t="shared" si="20"/>
        <v>742.95</v>
      </c>
    </row>
    <row r="172" spans="1:5" ht="15" x14ac:dyDescent="0.2">
      <c r="A172" s="2" t="s">
        <v>142</v>
      </c>
      <c r="B172" s="2" t="s">
        <v>216</v>
      </c>
      <c r="C172" s="11">
        <v>1216</v>
      </c>
      <c r="D172" s="11"/>
      <c r="E172" s="11">
        <f t="shared" si="20"/>
        <v>790.4</v>
      </c>
    </row>
    <row r="173" spans="1:5" ht="6.75" customHeight="1" x14ac:dyDescent="0.2"/>
    <row r="174" spans="1:5" ht="18" x14ac:dyDescent="0.25">
      <c r="B174" s="12" t="s">
        <v>177</v>
      </c>
      <c r="C174" s="5" t="s">
        <v>312</v>
      </c>
      <c r="D174" s="5"/>
      <c r="E174" s="10" t="s">
        <v>314</v>
      </c>
    </row>
    <row r="175" spans="1:5" ht="15.75" x14ac:dyDescent="0.25">
      <c r="B175" s="3" t="s">
        <v>233</v>
      </c>
      <c r="C175" s="5"/>
      <c r="D175" s="5"/>
      <c r="E175" s="5"/>
    </row>
    <row r="176" spans="1:5" ht="15.75" x14ac:dyDescent="0.25">
      <c r="A176" s="3" t="s">
        <v>60</v>
      </c>
      <c r="B176" s="19" t="s">
        <v>234</v>
      </c>
      <c r="C176" s="19"/>
      <c r="D176" s="19"/>
      <c r="E176" s="19"/>
    </row>
    <row r="177" spans="1:5" ht="15" x14ac:dyDescent="0.2">
      <c r="A177" s="2" t="s">
        <v>287</v>
      </c>
      <c r="B177" s="2" t="s">
        <v>288</v>
      </c>
      <c r="C177" s="11">
        <v>1155</v>
      </c>
      <c r="D177" s="11"/>
      <c r="E177" s="11">
        <f>C177*0.65</f>
        <v>750.75</v>
      </c>
    </row>
    <row r="178" spans="1:5" ht="15" x14ac:dyDescent="0.2">
      <c r="A178" s="2" t="s">
        <v>289</v>
      </c>
      <c r="B178" s="2" t="s">
        <v>290</v>
      </c>
      <c r="C178" s="11">
        <v>1155</v>
      </c>
      <c r="D178" s="11"/>
      <c r="E178" s="11">
        <f t="shared" ref="E178:E180" si="21">C178*0.65</f>
        <v>750.75</v>
      </c>
    </row>
    <row r="179" spans="1:5" ht="15" x14ac:dyDescent="0.2">
      <c r="A179" s="2" t="s">
        <v>291</v>
      </c>
      <c r="B179" s="2" t="s">
        <v>292</v>
      </c>
      <c r="C179" s="11">
        <v>1155</v>
      </c>
      <c r="D179" s="11"/>
      <c r="E179" s="11">
        <f t="shared" si="21"/>
        <v>750.75</v>
      </c>
    </row>
    <row r="180" spans="1:5" ht="15" x14ac:dyDescent="0.2">
      <c r="A180" s="2" t="s">
        <v>293</v>
      </c>
      <c r="B180" s="2" t="s">
        <v>294</v>
      </c>
      <c r="C180" s="11">
        <v>1155</v>
      </c>
      <c r="D180" s="11"/>
      <c r="E180" s="11">
        <f t="shared" si="21"/>
        <v>750.75</v>
      </c>
    </row>
    <row r="181" spans="1:5" ht="15.75" x14ac:dyDescent="0.25">
      <c r="A181" s="3"/>
      <c r="B181" s="3"/>
      <c r="C181" s="3"/>
      <c r="D181" s="3"/>
      <c r="E181" s="3"/>
    </row>
    <row r="182" spans="1:5" ht="15" x14ac:dyDescent="0.2">
      <c r="A182" s="2" t="s">
        <v>178</v>
      </c>
      <c r="B182" s="2" t="s">
        <v>217</v>
      </c>
      <c r="C182" s="11">
        <v>1232</v>
      </c>
      <c r="D182" s="11"/>
      <c r="E182" s="11">
        <f>C182*0.65</f>
        <v>800.80000000000007</v>
      </c>
    </row>
    <row r="183" spans="1:5" ht="15" x14ac:dyDescent="0.2">
      <c r="A183" s="2" t="s">
        <v>179</v>
      </c>
      <c r="B183" s="2" t="s">
        <v>218</v>
      </c>
      <c r="C183" s="11">
        <v>1232</v>
      </c>
      <c r="D183" s="11"/>
      <c r="E183" s="11">
        <f t="shared" ref="E183:E185" si="22">C183*0.65</f>
        <v>800.80000000000007</v>
      </c>
    </row>
    <row r="184" spans="1:5" ht="15" x14ac:dyDescent="0.2">
      <c r="A184" s="2" t="s">
        <v>180</v>
      </c>
      <c r="B184" s="2" t="s">
        <v>219</v>
      </c>
      <c r="C184" s="11">
        <v>1232</v>
      </c>
      <c r="D184" s="11"/>
      <c r="E184" s="11">
        <f t="shared" si="22"/>
        <v>800.80000000000007</v>
      </c>
    </row>
    <row r="185" spans="1:5" ht="15" x14ac:dyDescent="0.2">
      <c r="A185" s="2" t="s">
        <v>181</v>
      </c>
      <c r="B185" s="2" t="s">
        <v>220</v>
      </c>
      <c r="C185" s="11">
        <v>1232</v>
      </c>
      <c r="D185" s="11"/>
      <c r="E185" s="11">
        <f t="shared" si="22"/>
        <v>800.80000000000007</v>
      </c>
    </row>
    <row r="187" spans="1:5" ht="15" x14ac:dyDescent="0.2">
      <c r="A187" s="2" t="s">
        <v>182</v>
      </c>
      <c r="B187" s="2" t="s">
        <v>221</v>
      </c>
      <c r="C187" s="11">
        <v>1250</v>
      </c>
      <c r="D187" s="11"/>
      <c r="E187" s="11">
        <f>C187*0.65</f>
        <v>812.5</v>
      </c>
    </row>
    <row r="188" spans="1:5" ht="15" x14ac:dyDescent="0.2">
      <c r="A188" s="2" t="s">
        <v>183</v>
      </c>
      <c r="B188" s="2" t="s">
        <v>222</v>
      </c>
      <c r="C188" s="11">
        <v>1250</v>
      </c>
      <c r="D188" s="11"/>
      <c r="E188" s="11">
        <f t="shared" ref="E188:E190" si="23">C188*0.65</f>
        <v>812.5</v>
      </c>
    </row>
    <row r="189" spans="1:5" ht="15" x14ac:dyDescent="0.2">
      <c r="A189" s="2" t="s">
        <v>184</v>
      </c>
      <c r="B189" s="2" t="s">
        <v>223</v>
      </c>
      <c r="C189" s="11">
        <v>1250</v>
      </c>
      <c r="D189" s="11"/>
      <c r="E189" s="11">
        <f t="shared" si="23"/>
        <v>812.5</v>
      </c>
    </row>
    <row r="190" spans="1:5" ht="15" x14ac:dyDescent="0.2">
      <c r="A190" s="2" t="s">
        <v>185</v>
      </c>
      <c r="B190" s="2" t="s">
        <v>224</v>
      </c>
      <c r="C190" s="11">
        <v>1250</v>
      </c>
      <c r="D190" s="11"/>
      <c r="E190" s="11">
        <f t="shared" si="23"/>
        <v>812.5</v>
      </c>
    </row>
    <row r="191" spans="1:5" ht="6.75" customHeight="1" x14ac:dyDescent="0.2"/>
    <row r="192" spans="1:5" ht="15.75" x14ac:dyDescent="0.25">
      <c r="A192" s="3" t="s">
        <v>59</v>
      </c>
      <c r="B192" s="19" t="s">
        <v>234</v>
      </c>
      <c r="C192" s="20"/>
      <c r="D192" s="20"/>
      <c r="E192" s="20"/>
    </row>
    <row r="193" spans="1:5" ht="15" x14ac:dyDescent="0.2">
      <c r="A193" s="2" t="s">
        <v>186</v>
      </c>
      <c r="B193" s="2" t="s">
        <v>225</v>
      </c>
      <c r="C193" s="11">
        <v>1226</v>
      </c>
      <c r="D193" s="11"/>
      <c r="E193" s="11">
        <f>C193*0.65</f>
        <v>796.9</v>
      </c>
    </row>
    <row r="194" spans="1:5" ht="15" x14ac:dyDescent="0.2">
      <c r="A194" s="2" t="s">
        <v>187</v>
      </c>
      <c r="B194" s="2" t="s">
        <v>226</v>
      </c>
      <c r="C194" s="11">
        <v>1226</v>
      </c>
      <c r="D194" s="11"/>
      <c r="E194" s="11">
        <f t="shared" ref="E194:E196" si="24">C194*0.65</f>
        <v>796.9</v>
      </c>
    </row>
    <row r="195" spans="1:5" ht="15" x14ac:dyDescent="0.2">
      <c r="A195" s="2" t="s">
        <v>188</v>
      </c>
      <c r="B195" s="2" t="s">
        <v>227</v>
      </c>
      <c r="C195" s="11">
        <v>1226</v>
      </c>
      <c r="D195" s="11"/>
      <c r="E195" s="11">
        <f t="shared" si="24"/>
        <v>796.9</v>
      </c>
    </row>
    <row r="196" spans="1:5" ht="15" x14ac:dyDescent="0.2">
      <c r="A196" s="2" t="s">
        <v>189</v>
      </c>
      <c r="B196" s="2" t="s">
        <v>228</v>
      </c>
      <c r="C196" s="11">
        <v>1226</v>
      </c>
      <c r="D196" s="11"/>
      <c r="E196" s="11">
        <f t="shared" si="24"/>
        <v>796.9</v>
      </c>
    </row>
    <row r="198" spans="1:5" ht="15" x14ac:dyDescent="0.2">
      <c r="A198" s="2" t="s">
        <v>295</v>
      </c>
      <c r="B198" s="2" t="s">
        <v>299</v>
      </c>
      <c r="C198" s="11">
        <v>1300</v>
      </c>
      <c r="D198" s="11"/>
      <c r="E198" s="11">
        <f>C198*0.65</f>
        <v>845</v>
      </c>
    </row>
    <row r="199" spans="1:5" ht="15" x14ac:dyDescent="0.2">
      <c r="A199" s="14" t="s">
        <v>296</v>
      </c>
      <c r="B199" s="2" t="s">
        <v>300</v>
      </c>
      <c r="C199" s="11">
        <v>1300</v>
      </c>
      <c r="D199" s="11"/>
      <c r="E199" s="11">
        <f t="shared" ref="E199:E201" si="25">C199*0.65</f>
        <v>845</v>
      </c>
    </row>
    <row r="200" spans="1:5" ht="15" x14ac:dyDescent="0.2">
      <c r="A200" s="2" t="s">
        <v>297</v>
      </c>
      <c r="B200" s="2" t="s">
        <v>301</v>
      </c>
      <c r="C200" s="11">
        <v>1300</v>
      </c>
      <c r="D200" s="11"/>
      <c r="E200" s="11">
        <f t="shared" si="25"/>
        <v>845</v>
      </c>
    </row>
    <row r="201" spans="1:5" ht="15" x14ac:dyDescent="0.2">
      <c r="A201" s="2" t="s">
        <v>298</v>
      </c>
      <c r="B201" s="2" t="s">
        <v>302</v>
      </c>
      <c r="C201" s="11">
        <v>1300</v>
      </c>
      <c r="D201" s="11"/>
      <c r="E201" s="11">
        <f t="shared" si="25"/>
        <v>845</v>
      </c>
    </row>
    <row r="203" spans="1:5" ht="15.75" x14ac:dyDescent="0.25">
      <c r="A203" s="2" t="s">
        <v>190</v>
      </c>
      <c r="B203" s="2" t="s">
        <v>229</v>
      </c>
      <c r="C203" s="11">
        <v>1374</v>
      </c>
      <c r="D203" s="11"/>
      <c r="E203" s="11">
        <f>C203*0.65</f>
        <v>893.1</v>
      </c>
    </row>
    <row r="204" spans="1:5" ht="15.75" x14ac:dyDescent="0.25">
      <c r="A204" s="2" t="s">
        <v>191</v>
      </c>
      <c r="B204" s="2" t="s">
        <v>230</v>
      </c>
      <c r="C204" s="11">
        <v>1374</v>
      </c>
      <c r="D204" s="11"/>
      <c r="E204" s="11">
        <f t="shared" ref="E204:E206" si="26">C204*0.65</f>
        <v>893.1</v>
      </c>
    </row>
    <row r="205" spans="1:5" ht="15" x14ac:dyDescent="0.2">
      <c r="A205" s="2" t="s">
        <v>192</v>
      </c>
      <c r="B205" s="2" t="s">
        <v>231</v>
      </c>
      <c r="C205" s="11">
        <v>1374</v>
      </c>
      <c r="D205" s="11"/>
      <c r="E205" s="11">
        <f t="shared" si="26"/>
        <v>893.1</v>
      </c>
    </row>
    <row r="206" spans="1:5" ht="15" x14ac:dyDescent="0.2">
      <c r="A206" s="2" t="s">
        <v>193</v>
      </c>
      <c r="B206" s="2" t="s">
        <v>232</v>
      </c>
      <c r="C206" s="11">
        <v>1374</v>
      </c>
      <c r="D206" s="11"/>
      <c r="E206" s="11">
        <f t="shared" si="26"/>
        <v>893.1</v>
      </c>
    </row>
    <row r="207" spans="1:5" ht="5.25" customHeight="1" x14ac:dyDescent="0.2">
      <c r="A207" s="2"/>
      <c r="B207" s="2"/>
    </row>
    <row r="208" spans="1:5" ht="18" x14ac:dyDescent="0.25">
      <c r="B208" s="12" t="s">
        <v>53</v>
      </c>
      <c r="C208" s="1"/>
      <c r="D208" s="1"/>
      <c r="E208" s="4"/>
    </row>
    <row r="209" spans="1:5" ht="15.75" x14ac:dyDescent="0.25">
      <c r="A209" s="3"/>
      <c r="B209" s="19" t="s">
        <v>65</v>
      </c>
      <c r="C209" s="19"/>
      <c r="D209" s="19"/>
      <c r="E209" s="19"/>
    </row>
    <row r="210" spans="1:5" x14ac:dyDescent="0.2">
      <c r="A210" s="8" t="s">
        <v>0</v>
      </c>
      <c r="B210" s="8" t="s">
        <v>1</v>
      </c>
      <c r="C210" s="5" t="s">
        <v>312</v>
      </c>
      <c r="D210" s="5"/>
      <c r="E210" s="10" t="s">
        <v>314</v>
      </c>
    </row>
    <row r="211" spans="1:5" ht="15" x14ac:dyDescent="0.2">
      <c r="A211" s="2" t="s">
        <v>40</v>
      </c>
      <c r="B211" s="2" t="s">
        <v>42</v>
      </c>
      <c r="C211" s="11">
        <v>556</v>
      </c>
      <c r="D211" s="11"/>
      <c r="E211" s="11">
        <f>C211*0.65</f>
        <v>361.40000000000003</v>
      </c>
    </row>
    <row r="212" spans="1:5" ht="15.75" x14ac:dyDescent="0.25">
      <c r="A212" s="3"/>
      <c r="B212" s="3" t="s">
        <v>66</v>
      </c>
      <c r="C212" s="4">
        <v>616</v>
      </c>
      <c r="D212" s="4"/>
      <c r="E212" s="4">
        <f t="shared" ref="E212:E218" si="27">C212*0.65</f>
        <v>400.40000000000003</v>
      </c>
    </row>
    <row r="213" spans="1:5" ht="15" x14ac:dyDescent="0.2">
      <c r="A213" s="2" t="s">
        <v>10</v>
      </c>
      <c r="B213" s="2" t="s">
        <v>41</v>
      </c>
      <c r="C213" s="11">
        <v>572</v>
      </c>
      <c r="D213" s="11"/>
      <c r="E213" s="11">
        <f t="shared" si="27"/>
        <v>371.8</v>
      </c>
    </row>
    <row r="214" spans="1:5" ht="15.75" x14ac:dyDescent="0.25">
      <c r="A214" s="3"/>
      <c r="B214" s="3" t="s">
        <v>67</v>
      </c>
      <c r="C214" s="13">
        <v>632</v>
      </c>
      <c r="D214" s="13"/>
      <c r="E214" s="4">
        <f t="shared" si="27"/>
        <v>410.8</v>
      </c>
    </row>
    <row r="215" spans="1:5" ht="15" x14ac:dyDescent="0.2">
      <c r="A215" s="2" t="s">
        <v>303</v>
      </c>
      <c r="B215" s="2" t="s">
        <v>304</v>
      </c>
      <c r="C215" s="11">
        <v>587</v>
      </c>
      <c r="D215" s="15"/>
      <c r="E215" s="11">
        <f t="shared" si="27"/>
        <v>381.55</v>
      </c>
    </row>
    <row r="216" spans="1:5" ht="15.75" x14ac:dyDescent="0.25">
      <c r="A216" s="3"/>
      <c r="B216" s="3" t="s">
        <v>305</v>
      </c>
      <c r="C216" s="13">
        <v>647</v>
      </c>
      <c r="D216" s="13"/>
      <c r="E216" s="4">
        <f t="shared" si="27"/>
        <v>420.55</v>
      </c>
    </row>
    <row r="217" spans="1:5" ht="15" x14ac:dyDescent="0.2">
      <c r="A217" s="2" t="s">
        <v>11</v>
      </c>
      <c r="B217" s="2" t="s">
        <v>43</v>
      </c>
      <c r="C217" s="11">
        <v>616</v>
      </c>
      <c r="D217" s="11"/>
      <c r="E217" s="11">
        <f t="shared" si="27"/>
        <v>400.40000000000003</v>
      </c>
    </row>
    <row r="218" spans="1:5" ht="15.75" x14ac:dyDescent="0.25">
      <c r="A218" s="3"/>
      <c r="B218" s="3" t="s">
        <v>68</v>
      </c>
      <c r="C218" s="4">
        <v>676</v>
      </c>
      <c r="D218" s="4"/>
      <c r="E218" s="4">
        <f t="shared" si="27"/>
        <v>439.40000000000003</v>
      </c>
    </row>
    <row r="219" spans="1:5" ht="6" customHeight="1" x14ac:dyDescent="0.25">
      <c r="A219" s="3"/>
      <c r="B219" s="3"/>
      <c r="C219" s="4"/>
      <c r="D219" s="4"/>
      <c r="E219" s="4"/>
    </row>
    <row r="220" spans="1:5" ht="18" x14ac:dyDescent="0.25">
      <c r="A220" s="3"/>
      <c r="B220" s="12" t="s">
        <v>235</v>
      </c>
      <c r="C220" s="5" t="s">
        <v>312</v>
      </c>
      <c r="D220" s="5"/>
      <c r="E220" s="10" t="s">
        <v>314</v>
      </c>
    </row>
    <row r="221" spans="1:5" ht="15" x14ac:dyDescent="0.2">
      <c r="A221" s="2" t="s">
        <v>194</v>
      </c>
      <c r="B221" s="2" t="s">
        <v>195</v>
      </c>
      <c r="C221" s="11">
        <v>806</v>
      </c>
      <c r="D221" s="11"/>
      <c r="E221" s="11">
        <f>C221*0.65</f>
        <v>523.9</v>
      </c>
    </row>
    <row r="222" spans="1:5" ht="15" x14ac:dyDescent="0.2">
      <c r="A222" s="2" t="s">
        <v>196</v>
      </c>
      <c r="B222" s="2" t="s">
        <v>197</v>
      </c>
      <c r="C222" s="15">
        <v>822</v>
      </c>
      <c r="D222" s="15"/>
      <c r="E222" s="11">
        <f t="shared" ref="E222:E224" si="28">C222*0.65</f>
        <v>534.30000000000007</v>
      </c>
    </row>
    <row r="223" spans="1:5" ht="15" x14ac:dyDescent="0.2">
      <c r="A223" s="2" t="s">
        <v>306</v>
      </c>
      <c r="B223" s="2" t="s">
        <v>307</v>
      </c>
      <c r="C223" s="15">
        <v>837</v>
      </c>
      <c r="D223" s="15"/>
      <c r="E223" s="11">
        <f t="shared" si="28"/>
        <v>544.05000000000007</v>
      </c>
    </row>
    <row r="224" spans="1:5" ht="15" x14ac:dyDescent="0.2">
      <c r="A224" s="2" t="s">
        <v>198</v>
      </c>
      <c r="B224" s="2" t="s">
        <v>199</v>
      </c>
      <c r="C224" s="11">
        <v>866</v>
      </c>
      <c r="D224" s="11"/>
      <c r="E224" s="11">
        <f t="shared" si="28"/>
        <v>562.9</v>
      </c>
    </row>
    <row r="225" spans="1:5" ht="6.75" customHeight="1" x14ac:dyDescent="0.2"/>
    <row r="226" spans="1:5" ht="18" x14ac:dyDescent="0.25">
      <c r="B226" s="12" t="s">
        <v>200</v>
      </c>
      <c r="C226" s="16"/>
      <c r="D226" s="16"/>
      <c r="E226" s="17"/>
    </row>
    <row r="227" spans="1:5" x14ac:dyDescent="0.2">
      <c r="A227" s="8" t="s">
        <v>0</v>
      </c>
      <c r="B227" s="8" t="s">
        <v>1</v>
      </c>
      <c r="C227" s="5" t="s">
        <v>312</v>
      </c>
      <c r="D227" s="5"/>
      <c r="E227" s="10" t="s">
        <v>314</v>
      </c>
    </row>
    <row r="228" spans="1:5" ht="15" x14ac:dyDescent="0.2">
      <c r="A228" s="2" t="s">
        <v>201</v>
      </c>
      <c r="B228" s="2" t="s">
        <v>318</v>
      </c>
      <c r="C228" s="11">
        <v>1290</v>
      </c>
      <c r="D228" s="11"/>
      <c r="E228" s="11">
        <f>C228*0.65</f>
        <v>838.5</v>
      </c>
    </row>
    <row r="229" spans="1:5" ht="15" x14ac:dyDescent="0.2">
      <c r="A229" s="2" t="s">
        <v>311</v>
      </c>
      <c r="B229" s="2" t="s">
        <v>319</v>
      </c>
      <c r="C229" s="11">
        <v>1290</v>
      </c>
      <c r="D229" s="11"/>
      <c r="E229" s="11">
        <f t="shared" ref="E229:E230" si="29">C229*0.65</f>
        <v>838.5</v>
      </c>
    </row>
    <row r="230" spans="1:5" ht="15" x14ac:dyDescent="0.2">
      <c r="A230" s="2" t="s">
        <v>202</v>
      </c>
      <c r="B230" s="2" t="s">
        <v>320</v>
      </c>
      <c r="C230" s="11">
        <v>1290</v>
      </c>
      <c r="D230" s="11"/>
      <c r="E230" s="11">
        <f t="shared" si="29"/>
        <v>838.5</v>
      </c>
    </row>
    <row r="231" spans="1:5" ht="15" x14ac:dyDescent="0.2">
      <c r="A231" s="2" t="s">
        <v>315</v>
      </c>
      <c r="B231" s="2" t="s">
        <v>321</v>
      </c>
      <c r="C231" s="11">
        <v>1290</v>
      </c>
      <c r="D231" s="11"/>
      <c r="E231" s="11">
        <f>C231*0.65</f>
        <v>838.5</v>
      </c>
    </row>
    <row r="232" spans="1:5" ht="15" x14ac:dyDescent="0.2">
      <c r="A232" s="2" t="s">
        <v>316</v>
      </c>
      <c r="B232" s="2" t="s">
        <v>322</v>
      </c>
      <c r="C232" s="11">
        <v>1290</v>
      </c>
      <c r="D232" s="11"/>
      <c r="E232" s="11">
        <f t="shared" ref="E232:E233" si="30">C232*0.65</f>
        <v>838.5</v>
      </c>
    </row>
    <row r="233" spans="1:5" ht="15" x14ac:dyDescent="0.2">
      <c r="A233" s="2" t="s">
        <v>317</v>
      </c>
      <c r="B233" s="2" t="s">
        <v>323</v>
      </c>
      <c r="C233" s="11">
        <v>1290</v>
      </c>
      <c r="D233" s="11"/>
      <c r="E233" s="11">
        <f t="shared" si="30"/>
        <v>838.5</v>
      </c>
    </row>
    <row r="235" spans="1:5" ht="18" x14ac:dyDescent="0.25">
      <c r="B235" s="12" t="s">
        <v>203</v>
      </c>
    </row>
    <row r="236" spans="1:5" x14ac:dyDescent="0.2">
      <c r="B236" s="6" t="s">
        <v>204</v>
      </c>
    </row>
    <row r="237" spans="1:5" ht="15.75" x14ac:dyDescent="0.25">
      <c r="A237" s="3"/>
      <c r="B237" s="3" t="s">
        <v>208</v>
      </c>
      <c r="C237" s="5" t="s">
        <v>312</v>
      </c>
      <c r="D237" s="5"/>
      <c r="E237" s="10" t="s">
        <v>314</v>
      </c>
    </row>
    <row r="238" spans="1:5" ht="15" x14ac:dyDescent="0.2">
      <c r="A238" s="2" t="s">
        <v>206</v>
      </c>
      <c r="B238" s="2" t="s">
        <v>209</v>
      </c>
      <c r="C238" s="15">
        <v>409</v>
      </c>
      <c r="D238" s="15"/>
      <c r="E238" s="15">
        <f>C238*0.65</f>
        <v>265.85000000000002</v>
      </c>
    </row>
    <row r="239" spans="1:5" ht="15" x14ac:dyDescent="0.2">
      <c r="A239" s="2" t="s">
        <v>205</v>
      </c>
      <c r="B239" s="2" t="s">
        <v>210</v>
      </c>
      <c r="C239" s="15">
        <v>409</v>
      </c>
      <c r="D239" s="15"/>
      <c r="E239" s="15">
        <f t="shared" ref="E239:E240" si="31">C239*0.65</f>
        <v>265.85000000000002</v>
      </c>
    </row>
    <row r="240" spans="1:5" ht="15" x14ac:dyDescent="0.2">
      <c r="A240" s="2" t="s">
        <v>207</v>
      </c>
      <c r="B240" s="2" t="s">
        <v>211</v>
      </c>
      <c r="C240" s="15">
        <v>409</v>
      </c>
      <c r="D240" s="15"/>
      <c r="E240" s="15">
        <f t="shared" si="31"/>
        <v>265.85000000000002</v>
      </c>
    </row>
  </sheetData>
  <mergeCells count="29">
    <mergeCell ref="B83:E83"/>
    <mergeCell ref="B114:E114"/>
    <mergeCell ref="B192:E192"/>
    <mergeCell ref="B209:E209"/>
    <mergeCell ref="B94:E94"/>
    <mergeCell ref="B99:E99"/>
    <mergeCell ref="B104:E104"/>
    <mergeCell ref="B109:E109"/>
    <mergeCell ref="B176:E176"/>
    <mergeCell ref="B128:E128"/>
    <mergeCell ref="B130:E130"/>
    <mergeCell ref="B143:E143"/>
    <mergeCell ref="B145:E145"/>
    <mergeCell ref="B10:E10"/>
    <mergeCell ref="B88:E88"/>
    <mergeCell ref="C1:E6"/>
    <mergeCell ref="A8:E8"/>
    <mergeCell ref="B12:E12"/>
    <mergeCell ref="B26:E26"/>
    <mergeCell ref="B13:E13"/>
    <mergeCell ref="B27:E27"/>
    <mergeCell ref="B37:E37"/>
    <mergeCell ref="B38:E38"/>
    <mergeCell ref="B53:E53"/>
    <mergeCell ref="B58:E58"/>
    <mergeCell ref="B63:E63"/>
    <mergeCell ref="B68:E68"/>
    <mergeCell ref="B73:E73"/>
    <mergeCell ref="B78:E78"/>
  </mergeCells>
  <phoneticPr fontId="1" type="noConversion"/>
  <pageMargins left="0.75" right="0.75" top="1" bottom="1" header="0.5" footer="0.5"/>
  <pageSetup scale="55" fitToHeight="0" orientation="portrait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INFRATECH</vt:lpstr>
      <vt:lpstr>Sheet3</vt:lpstr>
      <vt:lpstr>INFRATECH!Print_Area</vt:lpstr>
    </vt:vector>
  </TitlesOfParts>
  <Company>AEI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MOLINA</dc:creator>
  <cp:lastModifiedBy>Kyle Saul</cp:lastModifiedBy>
  <cp:lastPrinted>2025-12-12T17:56:55Z</cp:lastPrinted>
  <dcterms:created xsi:type="dcterms:W3CDTF">2010-07-29T19:34:58Z</dcterms:created>
  <dcterms:modified xsi:type="dcterms:W3CDTF">2025-12-12T17:57:00Z</dcterms:modified>
</cp:coreProperties>
</file>